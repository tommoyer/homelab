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s" sheetId="1" r:id="rId5"/>
    <sheet state="visible" name="Nodes" sheetId="2" r:id="rId6"/>
    <sheet state="visible" name="Services" sheetId="3" r:id="rId7"/>
    <sheet state="visible" name="Helpers" sheetId="4" r:id="rId8"/>
    <sheet state="visible" name="Static Address Lists" sheetId="5" r:id="rId9"/>
    <sheet state="visible" name="Firewall Rules" sheetId="6" r:id="rId10"/>
    <sheet state="visible" name="NAT Rules" sheetId="7" r:id="rId11"/>
  </sheets>
  <definedNames>
    <definedName name="DNSZones">Zones!$J$2:$J$9</definedName>
    <definedName name="NodeHostnames">Nodes!$U$2:$U$51</definedName>
    <definedName name="NodeIPs">Nodes!$P$2:$P$51</definedName>
    <definedName hidden="1" localSheetId="1" name="_xlnm._FilterDatabase">Nodes!$A$1:$AH$51</definedName>
    <definedName hidden="1" localSheetId="2" name="_xlnm._FilterDatabase">Services!$A$1:$P$38</definedName>
  </definedNames>
  <calcPr/>
</workbook>
</file>

<file path=xl/sharedStrings.xml><?xml version="1.0" encoding="utf-8"?>
<sst xmlns="http://schemas.openxmlformats.org/spreadsheetml/2006/main" count="1244" uniqueCount="441">
  <si>
    <t>Network</t>
  </si>
  <si>
    <t>VLAN ID</t>
  </si>
  <si>
    <t>Interface Name</t>
  </si>
  <si>
    <t>DNS Server</t>
  </si>
  <si>
    <t>Gateway IP</t>
  </si>
  <si>
    <t>Search Domain</t>
  </si>
  <si>
    <t>VLAN Name</t>
  </si>
  <si>
    <t>DHCP Start</t>
  </si>
  <si>
    <t>DHCP End</t>
  </si>
  <si>
    <t>DNS Zone</t>
  </si>
  <si>
    <t>DNS Views</t>
  </si>
  <si>
    <t>Address List Name</t>
  </si>
  <si>
    <t>Hairpin Allowed</t>
  </si>
  <si>
    <t>Allow Management</t>
  </si>
  <si>
    <t>Trust Level</t>
  </si>
  <si>
    <t>192.168.10.0/24</t>
  </si>
  <si>
    <t>vlan10-mgmt</t>
  </si>
  <si>
    <t>192.168.100.2</t>
  </si>
  <si>
    <t>192.168.10.1</t>
  </si>
  <si>
    <t>moyer.wtf</t>
  </si>
  <si>
    <t>mgmt</t>
  </si>
  <si>
    <t>192.168.10.100</t>
  </si>
  <si>
    <t>192.168.10.254</t>
  </si>
  <si>
    <t>mgmt.moyer.wtf</t>
  </si>
  <si>
    <t>internal</t>
  </si>
  <si>
    <t>Trusted</t>
  </si>
  <si>
    <t>192.168.20.0/24</t>
  </si>
  <si>
    <t>vlan20-dmz</t>
  </si>
  <si>
    <t>192.168.20.1</t>
  </si>
  <si>
    <t>dmz</t>
  </si>
  <si>
    <t>192.168.20.100</t>
  </si>
  <si>
    <t>192.168.20.254</t>
  </si>
  <si>
    <t>dmz.moyer.wtf</t>
  </si>
  <si>
    <t>Semi-trusted</t>
  </si>
  <si>
    <t>192.168.30.0/24</t>
  </si>
  <si>
    <t>vlan30-homelab</t>
  </si>
  <si>
    <t>192.168.30.1</t>
  </si>
  <si>
    <t>homelab</t>
  </si>
  <si>
    <t>192.168.30.100</t>
  </si>
  <si>
    <t>192.168.30.254</t>
  </si>
  <si>
    <t>homelab.moyer.wtf</t>
  </si>
  <si>
    <t>192.168.100.0/24</t>
  </si>
  <si>
    <t>vlan100-clients</t>
  </si>
  <si>
    <t>192.168.100.1</t>
  </si>
  <si>
    <t>hivemind</t>
  </si>
  <si>
    <t>192.168.100.100</t>
  </si>
  <si>
    <t>192.168.100.254</t>
  </si>
  <si>
    <t>hivemind.moyer.wtf</t>
  </si>
  <si>
    <t>207.144.81.217/24</t>
  </si>
  <si>
    <t>207.144.81.1</t>
  </si>
  <si>
    <t>wan</t>
  </si>
  <si>
    <t>internal, external</t>
  </si>
  <si>
    <t>wan-interface</t>
  </si>
  <si>
    <t>Untrusted</t>
  </si>
  <si>
    <t>thomasmoyer.org</t>
  </si>
  <si>
    <t>priv.moyer.wtf</t>
  </si>
  <si>
    <t>priv-lan</t>
  </si>
  <si>
    <t>172.16.10.0/24</t>
  </si>
  <si>
    <t>ceph</t>
  </si>
  <si>
    <t>ceph.moyer.wtf</t>
  </si>
  <si>
    <t>Hostname</t>
  </si>
  <si>
    <t>Set up</t>
  </si>
  <si>
    <t>Tailscale logged in</t>
  </si>
  <si>
    <t>Accept TS Routes</t>
  </si>
  <si>
    <t>Kuma</t>
  </si>
  <si>
    <t>Grafana</t>
  </si>
  <si>
    <t>Backups</t>
  </si>
  <si>
    <t>Backups Tested</t>
  </si>
  <si>
    <t>VLAN</t>
  </si>
  <si>
    <t>Subnet</t>
  </si>
  <si>
    <t>IP Address</t>
  </si>
  <si>
    <t>Static/DHCP</t>
  </si>
  <si>
    <t>Device Type</t>
  </si>
  <si>
    <t>Interface</t>
  </si>
  <si>
    <t>MAC Address</t>
  </si>
  <si>
    <t>DNS Name</t>
  </si>
  <si>
    <t>Extra CNAMEs</t>
  </si>
  <si>
    <t>Disable CNAME</t>
  </si>
  <si>
    <t>Managed</t>
  </si>
  <si>
    <t>Playbooks</t>
  </si>
  <si>
    <t>Roles</t>
  </si>
  <si>
    <t>Proxmox Node</t>
  </si>
  <si>
    <t>Script URL</t>
  </si>
  <si>
    <t>Oxidized Model</t>
  </si>
  <si>
    <t>Skip Tailscale</t>
  </si>
  <si>
    <t>Tailscale Install Method</t>
  </si>
  <si>
    <t>Cores</t>
  </si>
  <si>
    <t>RAM</t>
  </si>
  <si>
    <t>Disk</t>
  </si>
  <si>
    <t>hexs</t>
  </si>
  <si>
    <t>Static</t>
  </si>
  <si>
    <t>Physical</t>
  </si>
  <si>
    <t>routeros</t>
  </si>
  <si>
    <t>crs</t>
  </si>
  <si>
    <t>192.168.10.2</t>
  </si>
  <si>
    <t>udr</t>
  </si>
  <si>
    <t>192.168.10.3</t>
  </si>
  <si>
    <t>u6p-0</t>
  </si>
  <si>
    <t>192.168.10.4</t>
  </si>
  <si>
    <t>eth0</t>
  </si>
  <si>
    <t>desktop-0</t>
  </si>
  <si>
    <t>192.168.10.6</t>
  </si>
  <si>
    <t>nic0</t>
  </si>
  <si>
    <t>kanidm-client.yaml; node_exporter.yaml; apt-cacher-ng-client.yaml</t>
  </si>
  <si>
    <t>pve;kanidm-linux-login;node_exporter;apt_cacher_client</t>
  </si>
  <si>
    <t>Tailscale Install Script</t>
  </si>
  <si>
    <t>meer5-0</t>
  </si>
  <si>
    <t>192.168.10.7</t>
  </si>
  <si>
    <t>meer8-0</t>
  </si>
  <si>
    <t>192.168.10.8</t>
  </si>
  <si>
    <t>meer8-1</t>
  </si>
  <si>
    <t>192.168.10.9</t>
  </si>
  <si>
    <t>meer8-2</t>
  </si>
  <si>
    <t>192.168.10.10</t>
  </si>
  <si>
    <t>pbs</t>
  </si>
  <si>
    <t>192.168.10.11</t>
  </si>
  <si>
    <t>DHCP</t>
  </si>
  <si>
    <t>VM</t>
  </si>
  <si>
    <t>BC:24:11:22:78:1E</t>
  </si>
  <si>
    <t>None</t>
  </si>
  <si>
    <t>kanidm</t>
  </si>
  <si>
    <t>192.168.10.12</t>
  </si>
  <si>
    <t>LXC</t>
  </si>
  <si>
    <t>kanidm.yaml; kanidm-client.yaml; node_exporter.yaml; apt-cacher-ng-client.yaml</t>
  </si>
  <si>
    <t>ct/docker.sh</t>
  </si>
  <si>
    <t>Proxmox Helper Script</t>
  </si>
  <si>
    <t>smtp-relay</t>
  </si>
  <si>
    <t>192.168.10.14</t>
  </si>
  <si>
    <t>smtp-relay.yaml; kanidm-client.yaml; node_exporter.yaml; apt-cacher-ng-client.yaml</t>
  </si>
  <si>
    <t>kanidm-linux-login;node_exporter;apt_cacher_client</t>
  </si>
  <si>
    <t>ct/debian.sh</t>
  </si>
  <si>
    <t>proxmox</t>
  </si>
  <si>
    <t>192.168.10.15</t>
  </si>
  <si>
    <t>Custom</t>
  </si>
  <si>
    <t>vip</t>
  </si>
  <si>
    <t>uptime-kuma</t>
  </si>
  <si>
    <t>192.168.10.16</t>
  </si>
  <si>
    <t>D8:3A:DD:21:07:65</t>
  </si>
  <si>
    <t>uptime-kuma.yaml; kanidm-client.yaml; node_exporter.yaml; apt-cacher-ng-client.yaml</t>
  </si>
  <si>
    <t>prometheus</t>
  </si>
  <si>
    <t>192.168.10.5</t>
  </si>
  <si>
    <t>BC:24:11:3F:A4:AA</t>
  </si>
  <si>
    <t>kanidm-client.yaml; node_exporter.yaml; apt-cacher-ng-client.yaml; prometheus.yaml</t>
  </si>
  <si>
    <t>ct/prometheus.sh</t>
  </si>
  <si>
    <t>grafana</t>
  </si>
  <si>
    <t>192.168.10.13</t>
  </si>
  <si>
    <t>BC:24:11:73:5C:35</t>
  </si>
  <si>
    <t>ct/grafana.sh</t>
  </si>
  <si>
    <t>pihole</t>
  </si>
  <si>
    <t>pihole.yaml; kanidm-client.yaml; node_exporter.yaml; apt-cacher-ng-client.yaml</t>
  </si>
  <si>
    <t>pihole_node;kanidm-linux-login;node_exporter;apt_cacher_client</t>
  </si>
  <si>
    <t>laptop</t>
  </si>
  <si>
    <t>192.168.100.53</t>
  </si>
  <si>
    <t>wlan0</t>
  </si>
  <si>
    <t>B0:4F:13:F5:06:C9</t>
  </si>
  <si>
    <t>laptop-wifi-dongle</t>
  </si>
  <si>
    <t>192.168.100.54</t>
  </si>
  <si>
    <t>wlan1</t>
  </si>
  <si>
    <t>04:7B:CB:2E:80:54</t>
  </si>
  <si>
    <t>laptop-monitor</t>
  </si>
  <si>
    <t>192.168.100.55</t>
  </si>
  <si>
    <t>E8:4E:06:B0:3F:30</t>
  </si>
  <si>
    <t>laptop-dock</t>
  </si>
  <si>
    <t>192.168.100.56</t>
  </si>
  <si>
    <t>60:7D:09:93:BB:7F</t>
  </si>
  <si>
    <t>caddy</t>
  </si>
  <si>
    <t>192.168.20.2</t>
  </si>
  <si>
    <t>caddy-bootstrap.yaml; kanidm-client.yaml; node_exporter.yaml; apt-cacher-ng-client.yaml</t>
  </si>
  <si>
    <t>ct/caddy.sh</t>
  </si>
  <si>
    <t>minecraft</t>
  </si>
  <si>
    <t>192.168.20.3</t>
  </si>
  <si>
    <t>BC:24:11:32:9C:26</t>
  </si>
  <si>
    <t>minecraft.yaml; kanidm-client.yaml; node_exporter.yaml; apt-cacher-ng-client.yaml</t>
  </si>
  <si>
    <t>ts-router</t>
  </si>
  <si>
    <t>192.168.20.4</t>
  </si>
  <si>
    <t>BC:24:11:E3:98:8F</t>
  </si>
  <si>
    <t>kanidm-client.yaml; node_exporter.yaml; ts-router.yaml; apt-cacher-ng-client.yaml</t>
  </si>
  <si>
    <t>kanidm-linux-login;node_exporter;ts_router;apt_cacher_client</t>
  </si>
  <si>
    <t>syncthing</t>
  </si>
  <si>
    <t>192.168.30.2</t>
  </si>
  <si>
    <t>BC:24:11:B4:7D:E8</t>
  </si>
  <si>
    <t>ct/syncthing.sh</t>
  </si>
  <si>
    <t>services</t>
  </si>
  <si>
    <t>192.168.30.5</t>
  </si>
  <si>
    <t>BC:24:11:10:29:A3</t>
  </si>
  <si>
    <t>kanidm-client.yaml; services.yaml; node_exporter.yaml; apt-cacher-ng-client.yaml</t>
  </si>
  <si>
    <t>vaultwarden</t>
  </si>
  <si>
    <t>192.168.30.6</t>
  </si>
  <si>
    <t>BC:24:11:5B:1C:78</t>
  </si>
  <si>
    <t>ct/vaultwarden.sh</t>
  </si>
  <si>
    <t>homarr</t>
  </si>
  <si>
    <t>192.168.30.7</t>
  </si>
  <si>
    <t>BC:24:11:F4:E2:BB</t>
  </si>
  <si>
    <t>ct/homarr.sh</t>
  </si>
  <si>
    <t>jellyfin</t>
  </si>
  <si>
    <t>192.168.30.9</t>
  </si>
  <si>
    <t>BC:24:11:6A:DA:CE</t>
  </si>
  <si>
    <t>ct/jellyfin.sh</t>
  </si>
  <si>
    <t>openwebui</t>
  </si>
  <si>
    <t>192.168.30.10</t>
  </si>
  <si>
    <t>BC:24:11:16:DF:1F</t>
  </si>
  <si>
    <t>ct/openwebui.sh</t>
  </si>
  <si>
    <t>ollama</t>
  </si>
  <si>
    <t>192.168.30.11</t>
  </si>
  <si>
    <t>BC:24:11:E5:E7:4F</t>
  </si>
  <si>
    <t>kanidm-client.yaml; ollama.yaml; node_exporter.yaml; apt-cacher-ng-client.yaml</t>
  </si>
  <si>
    <t>vm/debian-13-vm.sh</t>
  </si>
  <si>
    <t>gitea</t>
  </si>
  <si>
    <t>192.168.30.12</t>
  </si>
  <si>
    <t>BC:24:11:B2:C1:90</t>
  </si>
  <si>
    <t>ct/gitea.sh</t>
  </si>
  <si>
    <t>gitea-runner</t>
  </si>
  <si>
    <t>192.168.30.13</t>
  </si>
  <si>
    <t>BC:24:11:41:D7:2E</t>
  </si>
  <si>
    <t>kanidm-client.yaml; gitea-runner.yaml; node_exporter.yaml; apt-cacher-ng-client.yaml</t>
  </si>
  <si>
    <t>www</t>
  </si>
  <si>
    <t>192.168.30.14</t>
  </si>
  <si>
    <t>BC:24:11:E7:EB:4D</t>
  </si>
  <si>
    <r>
      <rPr/>
      <t xml:space="preserve">kanidm-client.yaml; </t>
    </r>
    <r>
      <rPr>
        <color rgb="FF1155CC"/>
        <u/>
      </rPr>
      <t>www.yaml</t>
    </r>
    <r>
      <rPr/>
      <t>; node_exporter.yaml; apt-cacher-ng-client.yaml</t>
    </r>
  </si>
  <si>
    <t>firefly-iii</t>
  </si>
  <si>
    <t>192.168.30.15</t>
  </si>
  <si>
    <t>BC:24:11:91:03:17</t>
  </si>
  <si>
    <t>ct/firefly.sh</t>
  </si>
  <si>
    <t>freshrss</t>
  </si>
  <si>
    <t>192.168.30.16</t>
  </si>
  <si>
    <t>BC:24:11:5D:EC:F3</t>
  </si>
  <si>
    <t>ct/freshrss.sh</t>
  </si>
  <si>
    <t>guac</t>
  </si>
  <si>
    <t>192.168.30.17</t>
  </si>
  <si>
    <t>BC:24:11:09:C7:5A</t>
  </si>
  <si>
    <t>kanidm-client.yaml; kanidm-ldap.yaml; node_exporter.yaml; apt-cacher-ng-client.yaml</t>
  </si>
  <si>
    <t>kanidm-linux-login; kanidm-ldap;node_exporter;apt_cacher_client</t>
  </si>
  <si>
    <t>ct/apache-guacamole.sh</t>
  </si>
  <si>
    <t>paperclip</t>
  </si>
  <si>
    <t>192.168.30.18</t>
  </si>
  <si>
    <t>BC:24:11:B7:75:10</t>
  </si>
  <si>
    <t>oxidized</t>
  </si>
  <si>
    <t>192.168.30.19</t>
  </si>
  <si>
    <t>BC:24:11:E5:D0:D7</t>
  </si>
  <si>
    <t>kanidm-client.yaml; oxidized.yaml; node_exporter.yaml; apt-cacher-ng-client.yaml</t>
  </si>
  <si>
    <t>tandoor</t>
  </si>
  <si>
    <t>192.168.30.4</t>
  </si>
  <si>
    <t>BC:24:11:B9:21:7D</t>
  </si>
  <si>
    <t>ct/tandoor.sh</t>
  </si>
  <si>
    <t>meer8-2-ceph</t>
  </si>
  <si>
    <t>172.16.10.10</t>
  </si>
  <si>
    <t>nic1</t>
  </si>
  <si>
    <t>desktop-0-ceph</t>
  </si>
  <si>
    <t>172.16.10.6</t>
  </si>
  <si>
    <t>meer5-0-ceph</t>
  </si>
  <si>
    <t>172.16.10.7</t>
  </si>
  <si>
    <t>meer8-0-ceph</t>
  </si>
  <si>
    <t>172.16.10.8</t>
  </si>
  <si>
    <t>meer8-1-ceph</t>
  </si>
  <si>
    <t>172.16.10.9</t>
  </si>
  <si>
    <t>talos-vm-0</t>
  </si>
  <si>
    <t>192.168.30.3</t>
  </si>
  <si>
    <t>BC:24:11:91:C9:D5</t>
  </si>
  <si>
    <t>talos-vm-1</t>
  </si>
  <si>
    <t>192.168.30.8</t>
  </si>
  <si>
    <t>BC:24:11:94:F1:3D</t>
  </si>
  <si>
    <t>talos-vm-2</t>
  </si>
  <si>
    <t>192.168.30.20</t>
  </si>
  <si>
    <t>BC:24:11:74:56:72</t>
  </si>
  <si>
    <t>talos</t>
  </si>
  <si>
    <t>192.168.30.21</t>
  </si>
  <si>
    <t>apt-cache</t>
  </si>
  <si>
    <t>home</t>
  </si>
  <si>
    <t>192.168.30.22</t>
  </si>
  <si>
    <t>BC:24:11:2A:A3:E2</t>
  </si>
  <si>
    <t>ct/apt-cacher-ng.sh</t>
  </si>
  <si>
    <t>Backend Port</t>
  </si>
  <si>
    <t>Protocol</t>
  </si>
  <si>
    <t>Service name</t>
  </si>
  <si>
    <t>Ingress</t>
  </si>
  <si>
    <t>Exposure</t>
  </si>
  <si>
    <t>Frontend Hostname</t>
  </si>
  <si>
    <t>Frontend Port</t>
  </si>
  <si>
    <t>TLS</t>
  </si>
  <si>
    <t>Default CNAME Target</t>
  </si>
  <si>
    <t>Include in services</t>
  </si>
  <si>
    <t>Font Awesome Class</t>
  </si>
  <si>
    <t>hexs.mgmt.moyer.wtf</t>
  </si>
  <si>
    <t>TCP</t>
  </si>
  <si>
    <t>hEX S Management UI</t>
  </si>
  <si>
    <t>private</t>
  </si>
  <si>
    <t>proxmox.mgmt.moyer.wtf</t>
  </si>
  <si>
    <t>Proxmox</t>
  </si>
  <si>
    <t>fa-solid fa-boxes-stacked</t>
  </si>
  <si>
    <t>crs.mgmt.moyer.wtf</t>
  </si>
  <si>
    <t>CRS Management UI</t>
  </si>
  <si>
    <t>pihole.hivemind.moyer.wtf</t>
  </si>
  <si>
    <t>Pihole</t>
  </si>
  <si>
    <t>fa-solid fa-shield-halved</t>
  </si>
  <si>
    <t>kanidm.mgmt.moyer.wtf</t>
  </si>
  <si>
    <t>Kanidm</t>
  </si>
  <si>
    <t>public</t>
  </si>
  <si>
    <t>fa-solid fa-id-card</t>
  </si>
  <si>
    <t>Kanidm LDAPS Interface</t>
  </si>
  <si>
    <t>direct</t>
  </si>
  <si>
    <t>local</t>
  </si>
  <si>
    <t>smtp-relay.mgmt.moyer.wtf</t>
  </si>
  <si>
    <t>SMTP Relay</t>
  </si>
  <si>
    <t>UDP</t>
  </si>
  <si>
    <t>Pihole DNS - UDP</t>
  </si>
  <si>
    <t>Pihole DNS - TCP</t>
  </si>
  <si>
    <t>minecraft.dmz.moyer.wtf</t>
  </si>
  <si>
    <t>Minecraft</t>
  </si>
  <si>
    <t>fa-solid fa-cube</t>
  </si>
  <si>
    <t>Minecraft Java - UDP</t>
  </si>
  <si>
    <t>Minecraft Bedrock</t>
  </si>
  <si>
    <t>syncthing.homelab.moyer.wtf</t>
  </si>
  <si>
    <t>Syncthing</t>
  </si>
  <si>
    <t>fa-solid fa-arrows-rotate</t>
  </si>
  <si>
    <t>Syncthing Sync - TCP</t>
  </si>
  <si>
    <t>Syncthing Sync - UDP</t>
  </si>
  <si>
    <t>Syncthing Discovery</t>
  </si>
  <si>
    <t>vaultwarden.homelab.moyer.wtf</t>
  </si>
  <si>
    <t>Vaultwarden</t>
  </si>
  <si>
    <t>fa-solid fa-lock</t>
  </si>
  <si>
    <t>homarr.homelab.moyer.wtf</t>
  </si>
  <si>
    <t>Homarr</t>
  </si>
  <si>
    <t>fa-solid fa-house</t>
  </si>
  <si>
    <t>pbs.mgmt.moyer.wtf</t>
  </si>
  <si>
    <t>Proxmox Backup Server</t>
  </si>
  <si>
    <t>fa-solid fa-database</t>
  </si>
  <si>
    <t>jellyfin.homelab.moyer.wtf</t>
  </si>
  <si>
    <t>Jellyfin</t>
  </si>
  <si>
    <t>fa-solid fa-film</t>
  </si>
  <si>
    <t>openwebui.homelab.moyer.wtf</t>
  </si>
  <si>
    <t>OpenwebUI</t>
  </si>
  <si>
    <t>fa-solid fa-robot</t>
  </si>
  <si>
    <t>ollama.homelab.moyer.wtf</t>
  </si>
  <si>
    <t>Ollama</t>
  </si>
  <si>
    <t>services.homelab.moyer.wtf</t>
  </si>
  <si>
    <t>Service Directory</t>
  </si>
  <si>
    <t>freshrss.homelab.moyer.wtf</t>
  </si>
  <si>
    <t>FreshRSS</t>
  </si>
  <si>
    <t>fa-solid fa-newspaper</t>
  </si>
  <si>
    <t>firefly-iii.homelab.moyer.wtf</t>
  </si>
  <si>
    <t>Firefly III</t>
  </si>
  <si>
    <t>fa-solid fa-money-bill-1-wave</t>
  </si>
  <si>
    <t>gitea.homelab.moyer.wtf</t>
  </si>
  <si>
    <t>Gitea</t>
  </si>
  <si>
    <t>fa-brands fa-square-git</t>
  </si>
  <si>
    <t>gitea-runner.homelab.moyer.wtf</t>
  </si>
  <si>
    <t>Gitea Runner</t>
  </si>
  <si>
    <t>uptime-kuma.mgmt.moyer.wtf</t>
  </si>
  <si>
    <t>Uptime Kuma</t>
  </si>
  <si>
    <t>fa-solid fa-heart-pulse</t>
  </si>
  <si>
    <t>Gitea SSH</t>
  </si>
  <si>
    <t>gitea-ssh.priv.moyer.wtf</t>
  </si>
  <si>
    <t>guac.homelab.moyer.wtf</t>
  </si>
  <si>
    <t>Guacamole</t>
  </si>
  <si>
    <t>fa-solid fa-desktop</t>
  </si>
  <si>
    <t>paperclip.homelab.moyer.wtf</t>
  </si>
  <si>
    <t>RDP</t>
  </si>
  <si>
    <t>oxidized.homelab.moyer.wtf</t>
  </si>
  <si>
    <t>Oxidized</t>
  </si>
  <si>
    <t>www.homelab.moyer.wtf</t>
  </si>
  <si>
    <t>WWW</t>
  </si>
  <si>
    <t>prometheus.mgmt.moyer.wtf</t>
  </si>
  <si>
    <t>Prometheus</t>
  </si>
  <si>
    <t>grafana.mgmt.moyer.wtf</t>
  </si>
  <si>
    <t>fa-solid fa-chart-line</t>
  </si>
  <si>
    <t>tandoor.homelab.moyer.wtf</t>
  </si>
  <si>
    <t>Tandoor</t>
  </si>
  <si>
    <t>fa-solid fa-utensils</t>
  </si>
  <si>
    <t>apt-cache.homelab.moyer.wtf</t>
  </si>
  <si>
    <t>APT-Cacher-NG</t>
  </si>
  <si>
    <t>Protocols</t>
  </si>
  <si>
    <t>Proxmox Nodes</t>
  </si>
  <si>
    <t>tcp</t>
  </si>
  <si>
    <t>udp</t>
  </si>
  <si>
    <t>ucmp</t>
  </si>
  <si>
    <t>gre</t>
  </si>
  <si>
    <t>List</t>
  </si>
  <si>
    <t>Address</t>
  </si>
  <si>
    <t>admin-laptop-ips</t>
  </si>
  <si>
    <t>hlb-kuma-hosts</t>
  </si>
  <si>
    <t>hlb-prometheus-hosts</t>
  </si>
  <si>
    <t>Chain</t>
  </si>
  <si>
    <t>Order</t>
  </si>
  <si>
    <t>Kind</t>
  </si>
  <si>
    <t>Action</t>
  </si>
  <si>
    <t>In Interface List</t>
  </si>
  <si>
    <t>Out Interface List</t>
  </si>
  <si>
    <t>Src Address List</t>
  </si>
  <si>
    <t>Dst Address List</t>
  </si>
  <si>
    <t>Dst Port</t>
  </si>
  <si>
    <t>Connection State</t>
  </si>
  <si>
    <t>Connection NAT State</t>
  </si>
  <si>
    <t>Enabled</t>
  </si>
  <si>
    <t>Comment</t>
  </si>
  <si>
    <t>Managed By</t>
  </si>
  <si>
    <t>Type</t>
  </si>
  <si>
    <t>input</t>
  </si>
  <si>
    <t>rule</t>
  </si>
  <si>
    <t>accept</t>
  </si>
  <si>
    <t>LAN</t>
  </si>
  <si>
    <t>icmp</t>
  </si>
  <si>
    <t>established</t>
  </si>
  <si>
    <t>related</t>
  </si>
  <si>
    <t>input established/related</t>
  </si>
  <si>
    <t>manual</t>
  </si>
  <si>
    <t>drop</t>
  </si>
  <si>
    <t>invalid</t>
  </si>
  <si>
    <t>drop invalid input</t>
  </si>
  <si>
    <t>WAN</t>
  </si>
  <si>
    <t>Block WAN mgmt</t>
  </si>
  <si>
    <t>allow ping to router (LAN)</t>
  </si>
  <si>
    <t>67,68</t>
  </si>
  <si>
    <t>allow DHCP to router</t>
  </si>
  <si>
    <t>allow LAN DNS UDP to router</t>
  </si>
  <si>
    <t>allow LAN DNS TCP to router</t>
  </si>
  <si>
    <t>Allow Admin Laptop to Router Input</t>
  </si>
  <si>
    <t>anchor</t>
  </si>
  <si>
    <t>INPUT_DYNAMIC_RULES</t>
  </si>
  <si>
    <t>generator</t>
  </si>
  <si>
    <t>drop all other input</t>
  </si>
  <si>
    <t>forward</t>
  </si>
  <si>
    <t>fasttrack-connection</t>
  </si>
  <si>
    <t>FastTrack</t>
  </si>
  <si>
    <t>forward established/related</t>
  </si>
  <si>
    <t>drop invalid forward</t>
  </si>
  <si>
    <t>vlan-mgmt</t>
  </si>
  <si>
    <t>admin laptop -&gt; mgmt</t>
  </si>
  <si>
    <t>LAN -&gt; WAN</t>
  </si>
  <si>
    <t>hlb-caddy-hosts</t>
  </si>
  <si>
    <t>homelab -&gt; caddy</t>
  </si>
  <si>
    <t>kuma access</t>
  </si>
  <si>
    <t>prometheus access</t>
  </si>
  <si>
    <t>hlb-backend-tcp-3142</t>
  </si>
  <si>
    <t>apt-cacher-ng access</t>
  </si>
  <si>
    <t>FORWARD_DYNAMIC_RULES</t>
  </si>
  <si>
    <t>block inter-VLAN (default deny)</t>
  </si>
  <si>
    <t>drop all other forward</t>
  </si>
  <si>
    <t>srcnat</t>
  </si>
  <si>
    <t>masquerade</t>
  </si>
  <si>
    <t>dstnat</t>
  </si>
  <si>
    <t>NAT_DYNAMIC_RULES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</si>
</sst>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434343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color theme="1"/>
      <name val="Arial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textRotation="9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1" fillId="2" fontId="7" numFmtId="0" xfId="0" applyAlignment="1" applyBorder="1" applyFill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horizontal="right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horizontal="center" shrinkToFit="0" vertical="center" wrapText="0"/>
    </xf>
    <xf borderId="3" fillId="2" fontId="8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00"/>
      </font>
      <fill>
        <patternFill patternType="none"/>
      </fill>
      <border/>
    </dxf>
  </dxfs>
  <tableStyles count="6">
    <tableStyle count="4" pivot="0" name="Z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ic Address Li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rewall 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T Ru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" displayName="Zones" name="Zones" id="1">
  <tableColumns count="15">
    <tableColumn name="Network" id="1"/>
    <tableColumn name="VLAN ID" id="2"/>
    <tableColumn name="Interface Name" id="3"/>
    <tableColumn name="DNS Server" id="4"/>
    <tableColumn name="Gateway IP" id="5"/>
    <tableColumn name="Search Domain" id="6"/>
    <tableColumn name="VLAN Name" id="7"/>
    <tableColumn name="DHCP Start" id="8"/>
    <tableColumn name="DHCP End" id="9"/>
    <tableColumn name="DNS Zone" id="10"/>
    <tableColumn name="DNS Views" id="11"/>
    <tableColumn name="Address List Name" id="12"/>
    <tableColumn name="Hairpin Allowed" id="13"/>
    <tableColumn name="Allow Management" id="14"/>
    <tableColumn name="Trust Level" id="15"/>
  </tableColumns>
  <tableStyleInfo name="Zones-style" showColumnStripes="0" showFirstColumn="1" showLastColumn="1" showRowStripes="1"/>
</table>
</file>

<file path=xl/tables/table2.xml><?xml version="1.0" encoding="utf-8"?>
<table xmlns="http://schemas.openxmlformats.org/spreadsheetml/2006/main" ref="A1:AH51" displayName="Nodes" name="Nodes" id="2">
  <autoFilter ref="$A$1:$AH$51"/>
  <tableColumns count="34">
    <tableColumn name="Hostname" id="1"/>
    <tableColumn name="Set up" id="2"/>
    <tableColumn name="Tailscale logged in" id="3"/>
    <tableColumn name="Accept TS Routes" id="4"/>
    <tableColumn name="Kuma" id="5"/>
    <tableColumn name="Grafana" id="6"/>
    <tableColumn name="Backups" id="7"/>
    <tableColumn name="Backups Tested" id="8"/>
    <tableColumn name="VLAN" id="9"/>
    <tableColumn name="Subnet" id="10"/>
    <tableColumn name="VLAN ID" id="11"/>
    <tableColumn name="Interface Name" id="12"/>
    <tableColumn name="DNS Server" id="13"/>
    <tableColumn name="Gateway IP" id="14"/>
    <tableColumn name="Search Domain" id="15"/>
    <tableColumn name="IP Address" id="16"/>
    <tableColumn name="Static/DHCP" id="17"/>
    <tableColumn name="Device Type" id="18"/>
    <tableColumn name="Interface" id="19"/>
    <tableColumn name="MAC Address" id="20"/>
    <tableColumn name="DNS Name" id="21"/>
    <tableColumn name="Extra CNAMEs" id="22"/>
    <tableColumn name="Disable CNAME" id="23"/>
    <tableColumn name="Managed" id="24"/>
    <tableColumn name="Playbooks" id="25"/>
    <tableColumn name="Roles" id="26"/>
    <tableColumn name="Proxmox Node" id="27"/>
    <tableColumn name="Script URL" id="28"/>
    <tableColumn name="Oxidized Model" id="29"/>
    <tableColumn name="Skip Tailscale" id="30"/>
    <tableColumn name="Tailscale Install Method" id="31"/>
    <tableColumn name="Cores" id="32"/>
    <tableColumn name="RAM" id="33"/>
    <tableColumn name="Disk" id="34"/>
  </tableColumns>
  <tableStyleInfo name="Nodes-style" showColumnStripes="0" showFirstColumn="1" showLastColumn="1" showRowStripes="1"/>
</table>
</file>

<file path=xl/tables/table3.xml><?xml version="1.0" encoding="utf-8"?>
<table xmlns="http://schemas.openxmlformats.org/spreadsheetml/2006/main" ref="A1:P38" displayName="Services" name="Services" id="3">
  <autoFilter ref="$A$1:$P$38"/>
  <tableColumns count="16">
    <tableColumn name="Hostname" id="1"/>
    <tableColumn name="IP Address" id="2"/>
    <tableColumn name="Subnet" id="3"/>
    <tableColumn name="Backend Port" id="4"/>
    <tableColumn name="Protocol" id="5"/>
    <tableColumn name="Service name" id="6"/>
    <tableColumn name="Ingress" id="7"/>
    <tableColumn name="Exposure" id="8"/>
    <tableColumn name="DNS Zone" id="9"/>
    <tableColumn name="Frontend Hostname" id="10"/>
    <tableColumn name="Frontend Port" id="11"/>
    <tableColumn name="TLS" id="12"/>
    <tableColumn name="Extra CNAMEs" id="13"/>
    <tableColumn name="Default CNAME Target" id="14"/>
    <tableColumn name="Include in services" id="15"/>
    <tableColumn name="Font Awesome Class" id="16"/>
  </tableColumns>
  <tableStyleInfo name="Services-style" showColumnStripes="0" showFirstColumn="1" showLastColumn="1" showRowStripes="1"/>
</table>
</file>

<file path=xl/tables/table4.xml><?xml version="1.0" encoding="utf-8"?>
<table xmlns="http://schemas.openxmlformats.org/spreadsheetml/2006/main" ref="A1:B15" displayName="Static_Address_Lists" name="Static_Address_Lists" id="4">
  <tableColumns count="2">
    <tableColumn name="List" id="1"/>
    <tableColumn name="Address" id="2"/>
  </tableColumns>
  <tableStyleInfo name="Static Address Lists-style" showColumnStripes="0" showFirstColumn="1" showLastColumn="1" showRowStripes="1"/>
</table>
</file>

<file path=xl/tables/table5.xml><?xml version="1.0" encoding="utf-8"?>
<table xmlns="http://schemas.openxmlformats.org/spreadsheetml/2006/main" ref="A1:P23" displayName="Firewall_Rules" name="Firewall_Rules" id="5">
  <tableColumns count="16">
    <tableColumn name="Chain" id="1"/>
    <tableColumn name="Order" id="2"/>
    <tableColumn name="Kind" id="3"/>
    <tableColumn name="Action" id="4"/>
    <tableColumn name="In Interface List" id="5"/>
    <tableColumn name="Out Interface List" id="6"/>
    <tableColumn name="Src Address List" id="7"/>
    <tableColumn name="Dst Address List" id="8"/>
    <tableColumn name="Protocol" id="9"/>
    <tableColumn name="Dst Port" id="10"/>
    <tableColumn name="Connection State" id="11"/>
    <tableColumn name="Connection NAT State" id="12"/>
    <tableColumn name="Enabled" id="13"/>
    <tableColumn name="Comment" id="14"/>
    <tableColumn name="Managed By" id="15"/>
    <tableColumn name="Type" id="16"/>
  </tableColumns>
  <tableStyleInfo name="Firewall Rules-style" showColumnStripes="0" showFirstColumn="1" showLastColumn="1" showRowStripes="1"/>
</table>
</file>

<file path=xl/tables/table6.xml><?xml version="1.0" encoding="utf-8"?>
<table xmlns="http://schemas.openxmlformats.org/spreadsheetml/2006/main" ref="A1:L3" displayName="Firewall_Rules_2" name="Firewall_Rules_2" id="6">
  <tableColumns count="12">
    <tableColumn name="Chain" id="1"/>
    <tableColumn name="Order" id="2"/>
    <tableColumn name="Kind" id="3"/>
    <tableColumn name="Action" id="4"/>
    <tableColumn name="In Interface List" id="5"/>
    <tableColumn name="Out Interface List" id="6"/>
    <tableColumn name="Src Address List" id="7"/>
    <tableColumn name="Protocol" id="8"/>
    <tableColumn name="Dst Port" id="9"/>
    <tableColumn name="Enabled" id="10"/>
    <tableColumn name="Comment" id="11"/>
    <tableColumn name="Type" id="12"/>
  </tableColumns>
  <tableStyleInfo name="NAT 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yaml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homasmoyer.org/" TargetMode="External"/><Relationship Id="rId2" Type="http://schemas.openxmlformats.org/officeDocument/2006/relationships/hyperlink" Target="http://thomasmoyer.org/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5"/>
    <col customWidth="1" min="2" max="2" width="15.88"/>
    <col customWidth="1" min="3" max="3" width="17.13"/>
    <col customWidth="1" min="4" max="4" width="15.88"/>
    <col customWidth="1" min="5" max="6" width="17.63"/>
    <col customWidth="1" min="7" max="7" width="15.5"/>
    <col customWidth="1" min="8" max="8" width="17.13"/>
    <col customWidth="1" min="9" max="9" width="18.25"/>
    <col customWidth="1" min="10" max="10" width="19.5"/>
    <col customWidth="1" min="11" max="15" width="2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</row>
    <row r="2" ht="22.5" customHeight="1">
      <c r="A2" s="3" t="s">
        <v>15</v>
      </c>
      <c r="B2" s="3">
        <v>10.0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4" t="str">
        <f t="shared" ref="L2:L5" si="1">IF(NOT(ISBLANK($G2)), CONCATENATE(G2, "-lan"), "")</f>
        <v>mgmt-lan</v>
      </c>
      <c r="M2" s="5" t="b">
        <v>1</v>
      </c>
      <c r="N2" s="5" t="b">
        <v>1</v>
      </c>
      <c r="O2" s="6" t="s">
        <v>25</v>
      </c>
    </row>
    <row r="3" ht="22.5" customHeight="1">
      <c r="A3" s="3" t="s">
        <v>26</v>
      </c>
      <c r="B3" s="3">
        <v>20.0</v>
      </c>
      <c r="C3" s="3" t="s">
        <v>27</v>
      </c>
      <c r="D3" s="3" t="s">
        <v>17</v>
      </c>
      <c r="E3" s="3" t="s">
        <v>28</v>
      </c>
      <c r="F3" s="3" t="s">
        <v>19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24</v>
      </c>
      <c r="L3" s="4" t="str">
        <f t="shared" si="1"/>
        <v>dmz-lan</v>
      </c>
      <c r="M3" s="5" t="b">
        <v>1</v>
      </c>
      <c r="N3" s="5" t="b">
        <v>1</v>
      </c>
      <c r="O3" s="6" t="s">
        <v>33</v>
      </c>
    </row>
    <row r="4" ht="22.5" customHeight="1">
      <c r="A4" s="3" t="s">
        <v>34</v>
      </c>
      <c r="B4" s="3">
        <v>30.0</v>
      </c>
      <c r="C4" s="3" t="s">
        <v>35</v>
      </c>
      <c r="D4" s="3" t="s">
        <v>17</v>
      </c>
      <c r="E4" s="3" t="s">
        <v>36</v>
      </c>
      <c r="F4" s="3" t="s">
        <v>19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24</v>
      </c>
      <c r="L4" s="4" t="str">
        <f t="shared" si="1"/>
        <v>homelab-lan</v>
      </c>
      <c r="M4" s="5" t="b">
        <v>1</v>
      </c>
      <c r="N4" s="5" t="b">
        <v>1</v>
      </c>
      <c r="O4" s="6" t="s">
        <v>25</v>
      </c>
    </row>
    <row r="5" ht="22.5" customHeight="1">
      <c r="A5" s="3" t="s">
        <v>41</v>
      </c>
      <c r="B5" s="3">
        <v>100.0</v>
      </c>
      <c r="C5" s="3" t="s">
        <v>42</v>
      </c>
      <c r="D5" s="3" t="s">
        <v>17</v>
      </c>
      <c r="E5" s="3" t="s">
        <v>43</v>
      </c>
      <c r="F5" s="3" t="s">
        <v>19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24</v>
      </c>
      <c r="L5" s="4" t="str">
        <f t="shared" si="1"/>
        <v>hivemind-lan</v>
      </c>
      <c r="M5" s="5" t="b">
        <v>1</v>
      </c>
      <c r="N5" s="5" t="b">
        <v>0</v>
      </c>
      <c r="O5" s="6" t="s">
        <v>33</v>
      </c>
    </row>
    <row r="6" ht="22.5" customHeight="1">
      <c r="A6" s="7" t="s">
        <v>48</v>
      </c>
      <c r="E6" s="7" t="s">
        <v>49</v>
      </c>
      <c r="F6" s="7"/>
      <c r="G6" s="3" t="s">
        <v>50</v>
      </c>
      <c r="J6" s="3" t="s">
        <v>19</v>
      </c>
      <c r="K6" s="3" t="s">
        <v>51</v>
      </c>
      <c r="L6" s="3" t="s">
        <v>52</v>
      </c>
      <c r="M6" s="5" t="b">
        <v>0</v>
      </c>
      <c r="N6" s="5" t="b">
        <v>0</v>
      </c>
      <c r="O6" s="6" t="s">
        <v>53</v>
      </c>
    </row>
    <row r="7" ht="22.5" customHeight="1">
      <c r="A7" s="7" t="s">
        <v>48</v>
      </c>
      <c r="E7" s="7" t="s">
        <v>49</v>
      </c>
      <c r="J7" s="8" t="s">
        <v>54</v>
      </c>
      <c r="K7" s="3" t="s">
        <v>51</v>
      </c>
      <c r="L7" s="3" t="s">
        <v>52</v>
      </c>
      <c r="M7" s="5" t="b">
        <v>0</v>
      </c>
      <c r="N7" s="5" t="b">
        <v>0</v>
      </c>
      <c r="O7" s="6" t="s">
        <v>53</v>
      </c>
    </row>
    <row r="8" ht="22.5" customHeight="1">
      <c r="A8" s="7"/>
      <c r="E8" s="7"/>
      <c r="J8" s="8" t="s">
        <v>55</v>
      </c>
      <c r="K8" s="3" t="s">
        <v>24</v>
      </c>
      <c r="L8" s="3" t="s">
        <v>56</v>
      </c>
      <c r="M8" s="5" t="b">
        <v>0</v>
      </c>
      <c r="N8" s="5" t="b">
        <v>0</v>
      </c>
      <c r="O8" s="6" t="s">
        <v>25</v>
      </c>
    </row>
    <row r="9" ht="22.5" customHeight="1">
      <c r="A9" s="3" t="s">
        <v>57</v>
      </c>
      <c r="G9" s="3" t="s">
        <v>58</v>
      </c>
      <c r="J9" s="3" t="s">
        <v>59</v>
      </c>
      <c r="K9" s="3" t="s">
        <v>24</v>
      </c>
      <c r="L9" s="4" t="str">
        <f>IF(NOT(ISBLANK($G9)), CONCATENATE(G9, "-lan"), "")</f>
        <v>ceph-lan</v>
      </c>
      <c r="M9" s="5" t="b">
        <v>0</v>
      </c>
      <c r="N9" s="5" t="b">
        <v>0</v>
      </c>
      <c r="O9" s="6" t="s">
        <v>25</v>
      </c>
    </row>
  </sheetData>
  <dataValidations>
    <dataValidation type="list" allowBlank="1" showErrorMessage="1" sqref="O2:O9">
      <formula1>"Trusted,Untrusted,Semi-trusted"</formula1>
    </dataValidation>
    <dataValidation type="list" allowBlank="1" showErrorMessage="1" sqref="K2:K9">
      <formula1>"internal,external"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8" width="7.5"/>
    <col customWidth="1" min="9" max="9" width="13.13"/>
    <col customWidth="1" min="10" max="10" width="17.75"/>
    <col customWidth="1" min="11" max="11" width="11.13"/>
    <col customWidth="1" min="12" max="15" width="17.75"/>
    <col customWidth="1" min="16" max="16" width="13.75"/>
    <col customWidth="1" min="17" max="17" width="18.13"/>
    <col customWidth="1" min="18" max="18" width="17.88"/>
    <col customWidth="1" min="20" max="20" width="18.13"/>
    <col customWidth="1" min="21" max="21" width="34.38"/>
    <col customWidth="1" min="22" max="22" width="23.63"/>
    <col customWidth="1" min="23" max="23" width="18.38"/>
    <col customWidth="1" min="25" max="25" width="81.88"/>
    <col customWidth="1" min="26" max="26" width="53.88"/>
    <col customWidth="1" min="27" max="27" width="24.38"/>
    <col customWidth="1" min="28" max="29" width="27.75"/>
    <col customWidth="1" min="30" max="31" width="29.13"/>
    <col customWidth="1" min="32" max="32" width="10.38"/>
    <col customWidth="1" min="33" max="33" width="11.5"/>
    <col customWidth="1" min="34" max="34" width="10.75"/>
  </cols>
  <sheetData>
    <row r="1" ht="100.5" customHeight="1">
      <c r="A1" s="1" t="s">
        <v>60</v>
      </c>
      <c r="B1" s="9" t="s">
        <v>61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1" t="s">
        <v>68</v>
      </c>
      <c r="J1" s="2" t="s">
        <v>69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2" t="s">
        <v>76</v>
      </c>
      <c r="W1" s="1" t="s">
        <v>77</v>
      </c>
      <c r="X1" s="1" t="s">
        <v>78</v>
      </c>
      <c r="Y1" s="2" t="s">
        <v>79</v>
      </c>
      <c r="Z1" s="1" t="s">
        <v>80</v>
      </c>
      <c r="AA1" s="1" t="s">
        <v>81</v>
      </c>
      <c r="AB1" s="1" t="s">
        <v>82</v>
      </c>
      <c r="AC1" s="2" t="s">
        <v>83</v>
      </c>
      <c r="AD1" s="2" t="s">
        <v>84</v>
      </c>
      <c r="AE1" s="2" t="s">
        <v>85</v>
      </c>
      <c r="AF1" s="2" t="s">
        <v>86</v>
      </c>
      <c r="AG1" s="2" t="s">
        <v>87</v>
      </c>
      <c r="AH1" s="2" t="s">
        <v>88</v>
      </c>
    </row>
    <row r="2" ht="22.5" customHeight="1">
      <c r="A2" s="3" t="s">
        <v>89</v>
      </c>
      <c r="B2" s="3" t="b">
        <v>1</v>
      </c>
      <c r="C2" s="3" t="b">
        <v>1</v>
      </c>
      <c r="D2" s="3" t="b">
        <v>0</v>
      </c>
      <c r="E2" s="3" t="b">
        <v>1</v>
      </c>
      <c r="F2" s="3" t="b">
        <v>0</v>
      </c>
      <c r="G2" s="3" t="b">
        <v>0</v>
      </c>
      <c r="H2" s="3" t="b">
        <v>0</v>
      </c>
      <c r="I2" s="6" t="s">
        <v>20</v>
      </c>
      <c r="J2" s="10" t="str">
        <f t="array" ref="J2:O2">XLOOKUP(I2, Zones[VLAN Name], Zones!$A$2:$F$9, "", -1)</f>
        <v>192.168.10.0/24</v>
      </c>
      <c r="K2" s="10">
        <v>10.0</v>
      </c>
      <c r="L2" s="10" t="s">
        <v>16</v>
      </c>
      <c r="M2" s="10" t="s">
        <v>17</v>
      </c>
      <c r="N2" s="10" t="s">
        <v>18</v>
      </c>
      <c r="O2" s="10" t="s">
        <v>19</v>
      </c>
      <c r="P2" s="11" t="s">
        <v>18</v>
      </c>
      <c r="Q2" s="6" t="s">
        <v>90</v>
      </c>
      <c r="R2" s="6" t="s">
        <v>91</v>
      </c>
      <c r="S2" s="3" t="s">
        <v>16</v>
      </c>
      <c r="U2" s="10" t="str">
        <f t="array" ref="U2">IF(P2&lt;&gt;"", A2 &amp; "." &amp; XLOOKUP(P2, Zones!A:A, Zones!J:J, "", -1), "")</f>
        <v>hexs.mgmt.moyer.wtf</v>
      </c>
      <c r="W2" s="10" t="b">
        <f>IF(U2&lt;&gt;"", IF(COUNTIF(Services!$A:$A, U2)&gt;0, TRUE, FALSE), "")</f>
        <v>1</v>
      </c>
      <c r="X2" s="3" t="b">
        <v>0</v>
      </c>
      <c r="Y2" s="3"/>
      <c r="Z2" s="3"/>
      <c r="AA2" s="12"/>
      <c r="AB2" s="3"/>
      <c r="AC2" s="3" t="s">
        <v>92</v>
      </c>
      <c r="AD2" s="5" t="b">
        <v>1</v>
      </c>
      <c r="AE2" s="12"/>
      <c r="AF2" s="3"/>
      <c r="AG2" s="3"/>
      <c r="AH2" s="3"/>
    </row>
    <row r="3" ht="22.5" customHeight="1">
      <c r="A3" s="3" t="s">
        <v>93</v>
      </c>
      <c r="B3" s="3" t="b">
        <v>1</v>
      </c>
      <c r="C3" s="3" t="b">
        <v>1</v>
      </c>
      <c r="D3" s="3" t="b">
        <v>0</v>
      </c>
      <c r="E3" s="3" t="b">
        <v>1</v>
      </c>
      <c r="F3" s="3" t="b">
        <v>0</v>
      </c>
      <c r="G3" s="3" t="b">
        <v>0</v>
      </c>
      <c r="H3" s="3" t="b">
        <v>0</v>
      </c>
      <c r="I3" s="6" t="s">
        <v>20</v>
      </c>
      <c r="J3" s="10" t="str">
        <f t="array" ref="J3:O3">XLOOKUP(I3, Zones[VLAN Name], Zones!$A$2:$F$9, "", -1)</f>
        <v>192.168.10.0/24</v>
      </c>
      <c r="K3" s="10">
        <v>10.0</v>
      </c>
      <c r="L3" s="10" t="s">
        <v>16</v>
      </c>
      <c r="M3" s="10" t="s">
        <v>17</v>
      </c>
      <c r="N3" s="10" t="s">
        <v>18</v>
      </c>
      <c r="O3" s="10" t="s">
        <v>19</v>
      </c>
      <c r="P3" s="11" t="s">
        <v>94</v>
      </c>
      <c r="Q3" s="6" t="s">
        <v>90</v>
      </c>
      <c r="R3" s="6" t="s">
        <v>91</v>
      </c>
      <c r="S3" s="3" t="s">
        <v>16</v>
      </c>
      <c r="U3" s="10" t="str">
        <f t="array" ref="U3">IF(P3&lt;&gt;"", A3 &amp; "." &amp; XLOOKUP(P3, Zones!A:A, Zones!J:J, "", -1), "")</f>
        <v>crs.mgmt.moyer.wtf</v>
      </c>
      <c r="W3" s="10" t="b">
        <f>IF(U3&lt;&gt;"", IF(COUNTIF(Services!$A:$A, U3)&gt;0, TRUE, FALSE), "")</f>
        <v>1</v>
      </c>
      <c r="X3" s="3" t="b">
        <v>0</v>
      </c>
      <c r="Y3" s="3"/>
      <c r="Z3" s="3"/>
      <c r="AA3" s="12"/>
      <c r="AB3" s="3"/>
      <c r="AC3" s="3" t="s">
        <v>92</v>
      </c>
      <c r="AD3" s="5" t="b">
        <v>1</v>
      </c>
      <c r="AE3" s="12"/>
      <c r="AF3" s="3"/>
      <c r="AG3" s="3"/>
      <c r="AH3" s="3"/>
    </row>
    <row r="4" ht="22.5" customHeight="1">
      <c r="A4" s="3" t="s">
        <v>95</v>
      </c>
      <c r="B4" s="3" t="b">
        <v>1</v>
      </c>
      <c r="C4" s="3" t="b">
        <v>1</v>
      </c>
      <c r="D4" s="3" t="b">
        <v>0</v>
      </c>
      <c r="E4" s="3" t="b">
        <v>1</v>
      </c>
      <c r="F4" s="3" t="b">
        <v>0</v>
      </c>
      <c r="G4" s="3" t="b">
        <v>0</v>
      </c>
      <c r="H4" s="3" t="b">
        <v>0</v>
      </c>
      <c r="I4" s="6" t="s">
        <v>20</v>
      </c>
      <c r="J4" s="10" t="str">
        <f t="array" ref="J4:O4">XLOOKUP(I4, Zones[VLAN Name], Zones!$A$2:$F$9, "", -1)</f>
        <v>192.168.10.0/24</v>
      </c>
      <c r="K4" s="10">
        <v>10.0</v>
      </c>
      <c r="L4" s="10" t="s">
        <v>16</v>
      </c>
      <c r="M4" s="10" t="s">
        <v>17</v>
      </c>
      <c r="N4" s="10" t="s">
        <v>18</v>
      </c>
      <c r="O4" s="10" t="s">
        <v>19</v>
      </c>
      <c r="P4" s="11" t="s">
        <v>96</v>
      </c>
      <c r="Q4" s="6" t="s">
        <v>90</v>
      </c>
      <c r="R4" s="6" t="s">
        <v>91</v>
      </c>
      <c r="S4" s="3" t="s">
        <v>16</v>
      </c>
      <c r="U4" s="10" t="str">
        <f t="array" ref="U4">IF(P4&lt;&gt;"", A4 &amp; "." &amp; XLOOKUP(P4, Zones!A:A, Zones!J:J, "", -1), "")</f>
        <v>udr.mgmt.moyer.wtf</v>
      </c>
      <c r="W4" s="10" t="b">
        <f>IF(U4&lt;&gt;"", IF(COUNTIF(Services!$A:$A, U4)&gt;0, TRUE, FALSE), "")</f>
        <v>0</v>
      </c>
      <c r="X4" s="3" t="b">
        <v>0</v>
      </c>
      <c r="Y4" s="3"/>
      <c r="Z4" s="3"/>
      <c r="AA4" s="12"/>
      <c r="AB4" s="3"/>
      <c r="AC4" s="13"/>
      <c r="AD4" s="5" t="b">
        <v>1</v>
      </c>
      <c r="AE4" s="12"/>
      <c r="AF4" s="3"/>
      <c r="AG4" s="3"/>
      <c r="AH4" s="3"/>
    </row>
    <row r="5" ht="22.5" customHeight="1">
      <c r="A5" s="3" t="s">
        <v>97</v>
      </c>
      <c r="B5" s="3" t="b">
        <v>1</v>
      </c>
      <c r="C5" s="3" t="b">
        <v>1</v>
      </c>
      <c r="D5" s="3" t="b">
        <v>0</v>
      </c>
      <c r="E5" s="3" t="b">
        <v>1</v>
      </c>
      <c r="F5" s="3" t="b">
        <v>0</v>
      </c>
      <c r="G5" s="3" t="b">
        <v>0</v>
      </c>
      <c r="H5" s="3" t="b">
        <v>0</v>
      </c>
      <c r="I5" s="6" t="s">
        <v>20</v>
      </c>
      <c r="J5" s="10" t="str">
        <f t="array" ref="J5:O5">XLOOKUP(I5, Zones[VLAN Name], Zones!$A$2:$F$9, "", -1)</f>
        <v>192.168.10.0/24</v>
      </c>
      <c r="K5" s="10">
        <v>10.0</v>
      </c>
      <c r="L5" s="10" t="s">
        <v>16</v>
      </c>
      <c r="M5" s="10" t="s">
        <v>17</v>
      </c>
      <c r="N5" s="10" t="s">
        <v>18</v>
      </c>
      <c r="O5" s="10" t="s">
        <v>19</v>
      </c>
      <c r="P5" s="11" t="s">
        <v>98</v>
      </c>
      <c r="Q5" s="6" t="s">
        <v>90</v>
      </c>
      <c r="R5" s="6" t="s">
        <v>91</v>
      </c>
      <c r="S5" s="3" t="s">
        <v>99</v>
      </c>
      <c r="U5" s="10" t="str">
        <f t="array" ref="U5">IF(P5&lt;&gt;"", A5 &amp; "." &amp; XLOOKUP(P5, Zones!A:A, Zones!J:J, "", -1), "")</f>
        <v>u6p-0.mgmt.moyer.wtf</v>
      </c>
      <c r="W5" s="10" t="b">
        <f>IF(U5&lt;&gt;"", IF(COUNTIF(Services!$A:$A, U5)&gt;0, TRUE, FALSE), "")</f>
        <v>0</v>
      </c>
      <c r="X5" s="3" t="b">
        <v>0</v>
      </c>
      <c r="Y5" s="3"/>
      <c r="Z5" s="3"/>
      <c r="AA5" s="12"/>
      <c r="AB5" s="3"/>
      <c r="AC5" s="13"/>
      <c r="AD5" s="5" t="b">
        <v>1</v>
      </c>
      <c r="AE5" s="12"/>
      <c r="AF5" s="3"/>
      <c r="AG5" s="3"/>
      <c r="AH5" s="3"/>
    </row>
    <row r="6" ht="22.5" customHeight="1">
      <c r="A6" s="14" t="s">
        <v>100</v>
      </c>
      <c r="B6" s="3" t="b">
        <v>1</v>
      </c>
      <c r="C6" s="3" t="b">
        <v>1</v>
      </c>
      <c r="D6" s="3" t="b">
        <v>0</v>
      </c>
      <c r="E6" s="3" t="b">
        <v>1</v>
      </c>
      <c r="F6" s="3" t="b">
        <v>0</v>
      </c>
      <c r="G6" s="3" t="b">
        <v>0</v>
      </c>
      <c r="H6" s="3" t="b">
        <v>0</v>
      </c>
      <c r="I6" s="6" t="s">
        <v>20</v>
      </c>
      <c r="J6" s="10" t="str">
        <f t="array" ref="J6:O6">XLOOKUP(I6, Zones[VLAN Name], Zones!$A$2:$F$9, "", -1)</f>
        <v>192.168.10.0/24</v>
      </c>
      <c r="K6" s="10">
        <v>10.0</v>
      </c>
      <c r="L6" s="10" t="s">
        <v>16</v>
      </c>
      <c r="M6" s="10" t="s">
        <v>17</v>
      </c>
      <c r="N6" s="10" t="s">
        <v>18</v>
      </c>
      <c r="O6" s="10" t="s">
        <v>19</v>
      </c>
      <c r="P6" s="11" t="s">
        <v>101</v>
      </c>
      <c r="Q6" s="6" t="s">
        <v>90</v>
      </c>
      <c r="R6" s="6" t="s">
        <v>91</v>
      </c>
      <c r="S6" s="3" t="s">
        <v>102</v>
      </c>
      <c r="U6" s="10" t="str">
        <f t="array" ref="U6">IF(P6&lt;&gt;"", A6 &amp; "." &amp; XLOOKUP(P6, Zones!A:A, Zones!J:J, "", -1), "")</f>
        <v>desktop-0.mgmt.moyer.wtf</v>
      </c>
      <c r="W6" s="10" t="b">
        <f>IF(U6&lt;&gt;"", IF(COUNTIF(Services!$A:$A, U6)&gt;0, TRUE, FALSE), "")</f>
        <v>0</v>
      </c>
      <c r="X6" s="3" t="b">
        <v>1</v>
      </c>
      <c r="Y6" s="3" t="s">
        <v>103</v>
      </c>
      <c r="Z6" s="3" t="s">
        <v>104</v>
      </c>
      <c r="AA6" s="12"/>
      <c r="AB6" s="3"/>
      <c r="AC6" s="13"/>
      <c r="AD6" s="5" t="b">
        <v>0</v>
      </c>
      <c r="AE6" s="6" t="s">
        <v>105</v>
      </c>
      <c r="AF6" s="3"/>
      <c r="AG6" s="3"/>
      <c r="AH6" s="3"/>
    </row>
    <row r="7" ht="22.5" customHeight="1">
      <c r="A7" s="14" t="s">
        <v>106</v>
      </c>
      <c r="B7" s="3" t="b">
        <v>1</v>
      </c>
      <c r="C7" s="3" t="b">
        <v>1</v>
      </c>
      <c r="D7" s="3" t="b">
        <v>0</v>
      </c>
      <c r="E7" s="3" t="b">
        <v>1</v>
      </c>
      <c r="F7" s="3" t="b">
        <v>0</v>
      </c>
      <c r="G7" s="3" t="b">
        <v>0</v>
      </c>
      <c r="H7" s="3" t="b">
        <v>0</v>
      </c>
      <c r="I7" s="6" t="s">
        <v>20</v>
      </c>
      <c r="J7" s="10" t="str">
        <f t="array" ref="J7:O7">XLOOKUP(I7, Zones[VLAN Name], Zones!$A$2:$F$9, "", -1)</f>
        <v>192.168.10.0/24</v>
      </c>
      <c r="K7" s="10">
        <v>10.0</v>
      </c>
      <c r="L7" s="10" t="s">
        <v>16</v>
      </c>
      <c r="M7" s="10" t="s">
        <v>17</v>
      </c>
      <c r="N7" s="10" t="s">
        <v>18</v>
      </c>
      <c r="O7" s="10" t="s">
        <v>19</v>
      </c>
      <c r="P7" s="11" t="s">
        <v>107</v>
      </c>
      <c r="Q7" s="6" t="s">
        <v>90</v>
      </c>
      <c r="R7" s="6" t="s">
        <v>91</v>
      </c>
      <c r="S7" s="3" t="s">
        <v>102</v>
      </c>
      <c r="U7" s="10" t="str">
        <f t="array" ref="U7">IF(P7&lt;&gt;"", A7 &amp; "." &amp; XLOOKUP(P7, Zones!A:A, Zones!J:J, "", -1), "")</f>
        <v>meer5-0.mgmt.moyer.wtf</v>
      </c>
      <c r="W7" s="10" t="b">
        <f>IF(U7&lt;&gt;"", IF(COUNTIF(Services!$A:$A, U7)&gt;0, TRUE, FALSE), "")</f>
        <v>0</v>
      </c>
      <c r="X7" s="3" t="b">
        <v>1</v>
      </c>
      <c r="Y7" s="3" t="s">
        <v>103</v>
      </c>
      <c r="Z7" s="3" t="s">
        <v>104</v>
      </c>
      <c r="AA7" s="12"/>
      <c r="AB7" s="3"/>
      <c r="AC7" s="13"/>
      <c r="AD7" s="5" t="b">
        <v>0</v>
      </c>
      <c r="AE7" s="6" t="s">
        <v>105</v>
      </c>
      <c r="AF7" s="3"/>
      <c r="AG7" s="3"/>
      <c r="AH7" s="3"/>
    </row>
    <row r="8" ht="22.5" customHeight="1">
      <c r="A8" s="14" t="s">
        <v>108</v>
      </c>
      <c r="B8" s="3" t="b">
        <v>1</v>
      </c>
      <c r="C8" s="3" t="b">
        <v>1</v>
      </c>
      <c r="D8" s="3" t="b">
        <v>0</v>
      </c>
      <c r="E8" s="3" t="b">
        <v>1</v>
      </c>
      <c r="F8" s="3" t="b">
        <v>0</v>
      </c>
      <c r="G8" s="3" t="b">
        <v>0</v>
      </c>
      <c r="H8" s="3" t="b">
        <v>0</v>
      </c>
      <c r="I8" s="6" t="s">
        <v>20</v>
      </c>
      <c r="J8" s="10" t="str">
        <f t="array" ref="J8:O8">XLOOKUP(I8, Zones[VLAN Name], Zones!$A$2:$F$9, "", -1)</f>
        <v>192.168.10.0/24</v>
      </c>
      <c r="K8" s="10">
        <v>10.0</v>
      </c>
      <c r="L8" s="10" t="s">
        <v>16</v>
      </c>
      <c r="M8" s="10" t="s">
        <v>17</v>
      </c>
      <c r="N8" s="10" t="s">
        <v>18</v>
      </c>
      <c r="O8" s="10" t="s">
        <v>19</v>
      </c>
      <c r="P8" s="11" t="s">
        <v>109</v>
      </c>
      <c r="Q8" s="6" t="s">
        <v>90</v>
      </c>
      <c r="R8" s="6" t="s">
        <v>91</v>
      </c>
      <c r="S8" s="3" t="s">
        <v>102</v>
      </c>
      <c r="T8" s="14"/>
      <c r="U8" s="10" t="str">
        <f t="array" ref="U8">IF(P8&lt;&gt;"", A8 &amp; "." &amp; XLOOKUP(P8, Zones!A:A, Zones!J:J, "", -1), "")</f>
        <v>meer8-0.mgmt.moyer.wtf</v>
      </c>
      <c r="W8" s="10" t="b">
        <f>IF(U8&lt;&gt;"", IF(COUNTIF(Services!$A:$A, U8)&gt;0, TRUE, FALSE), "")</f>
        <v>0</v>
      </c>
      <c r="X8" s="3" t="b">
        <v>1</v>
      </c>
      <c r="Y8" s="3" t="s">
        <v>103</v>
      </c>
      <c r="Z8" s="3" t="s">
        <v>104</v>
      </c>
      <c r="AA8" s="12"/>
      <c r="AB8" s="3"/>
      <c r="AC8" s="13"/>
      <c r="AD8" s="5" t="b">
        <v>0</v>
      </c>
      <c r="AE8" s="6" t="s">
        <v>105</v>
      </c>
      <c r="AF8" s="3"/>
      <c r="AG8" s="3"/>
      <c r="AH8" s="3"/>
    </row>
    <row r="9" ht="22.5" customHeight="1">
      <c r="A9" s="14" t="s">
        <v>110</v>
      </c>
      <c r="B9" s="3" t="b">
        <v>1</v>
      </c>
      <c r="C9" s="3" t="b">
        <v>1</v>
      </c>
      <c r="D9" s="3" t="b">
        <v>0</v>
      </c>
      <c r="E9" s="3" t="b">
        <v>1</v>
      </c>
      <c r="F9" s="3" t="b">
        <v>0</v>
      </c>
      <c r="G9" s="3" t="b">
        <v>0</v>
      </c>
      <c r="H9" s="3" t="b">
        <v>0</v>
      </c>
      <c r="I9" s="6" t="s">
        <v>20</v>
      </c>
      <c r="J9" s="10" t="str">
        <f t="array" ref="J9:O9">XLOOKUP(I9, Zones[VLAN Name], Zones!$A$2:$F$9, "", -1)</f>
        <v>192.168.10.0/24</v>
      </c>
      <c r="K9" s="10">
        <v>10.0</v>
      </c>
      <c r="L9" s="10" t="s">
        <v>16</v>
      </c>
      <c r="M9" s="10" t="s">
        <v>17</v>
      </c>
      <c r="N9" s="10" t="s">
        <v>18</v>
      </c>
      <c r="O9" s="10" t="s">
        <v>19</v>
      </c>
      <c r="P9" s="11" t="s">
        <v>111</v>
      </c>
      <c r="Q9" s="6" t="s">
        <v>90</v>
      </c>
      <c r="R9" s="6" t="s">
        <v>91</v>
      </c>
      <c r="S9" s="3" t="s">
        <v>102</v>
      </c>
      <c r="U9" s="10" t="str">
        <f t="array" ref="U9">IF(P9&lt;&gt;"", A9 &amp; "." &amp; XLOOKUP(P9, Zones!A:A, Zones!J:J, "", -1), "")</f>
        <v>meer8-1.mgmt.moyer.wtf</v>
      </c>
      <c r="W9" s="10" t="b">
        <f>IF(U9&lt;&gt;"", IF(COUNTIF(Services!$A:$A, U9)&gt;0, TRUE, FALSE), "")</f>
        <v>0</v>
      </c>
      <c r="X9" s="3" t="b">
        <v>1</v>
      </c>
      <c r="Y9" s="3" t="s">
        <v>103</v>
      </c>
      <c r="Z9" s="3" t="s">
        <v>104</v>
      </c>
      <c r="AA9" s="12"/>
      <c r="AB9" s="3"/>
      <c r="AC9" s="13"/>
      <c r="AD9" s="5" t="b">
        <v>0</v>
      </c>
      <c r="AE9" s="6" t="s">
        <v>105</v>
      </c>
      <c r="AF9" s="3"/>
      <c r="AG9" s="3"/>
      <c r="AH9" s="3"/>
    </row>
    <row r="10" ht="22.5" customHeight="1">
      <c r="A10" s="14" t="s">
        <v>112</v>
      </c>
      <c r="B10" s="3" t="b">
        <v>1</v>
      </c>
      <c r="C10" s="3" t="b">
        <v>1</v>
      </c>
      <c r="D10" s="3" t="b">
        <v>0</v>
      </c>
      <c r="E10" s="3" t="b">
        <v>1</v>
      </c>
      <c r="F10" s="3" t="b">
        <v>0</v>
      </c>
      <c r="G10" s="3" t="b">
        <v>0</v>
      </c>
      <c r="H10" s="3" t="b">
        <v>0</v>
      </c>
      <c r="I10" s="6" t="s">
        <v>20</v>
      </c>
      <c r="J10" s="10" t="str">
        <f t="array" ref="J10:O10">XLOOKUP(I10, Zones[VLAN Name], Zones!$A$2:$F$9, "", -1)</f>
        <v>192.168.10.0/24</v>
      </c>
      <c r="K10" s="10">
        <v>10.0</v>
      </c>
      <c r="L10" s="10" t="s">
        <v>16</v>
      </c>
      <c r="M10" s="10" t="s">
        <v>17</v>
      </c>
      <c r="N10" s="10" t="s">
        <v>18</v>
      </c>
      <c r="O10" s="10" t="s">
        <v>19</v>
      </c>
      <c r="P10" s="11" t="s">
        <v>113</v>
      </c>
      <c r="Q10" s="6" t="s">
        <v>90</v>
      </c>
      <c r="R10" s="6" t="s">
        <v>91</v>
      </c>
      <c r="S10" s="3" t="s">
        <v>102</v>
      </c>
      <c r="U10" s="10" t="str">
        <f t="array" ref="U10">IF(P10&lt;&gt;"", A10 &amp; "." &amp; XLOOKUP(P10, Zones!A:A, Zones!J:J, "", -1), "")</f>
        <v>meer8-2.mgmt.moyer.wtf</v>
      </c>
      <c r="W10" s="10" t="b">
        <f>IF(U10&lt;&gt;"", IF(COUNTIF(Services!$A:$A, U10)&gt;0, TRUE, FALSE), "")</f>
        <v>0</v>
      </c>
      <c r="X10" s="3" t="b">
        <v>1</v>
      </c>
      <c r="Y10" s="3" t="s">
        <v>103</v>
      </c>
      <c r="Z10" s="3" t="s">
        <v>104</v>
      </c>
      <c r="AA10" s="12"/>
      <c r="AB10" s="3"/>
      <c r="AC10" s="13"/>
      <c r="AD10" s="5" t="b">
        <v>0</v>
      </c>
      <c r="AE10" s="6" t="s">
        <v>105</v>
      </c>
      <c r="AF10" s="3"/>
      <c r="AG10" s="3"/>
      <c r="AH10" s="3"/>
    </row>
    <row r="11" ht="22.5" customHeight="1">
      <c r="A11" s="3" t="s">
        <v>114</v>
      </c>
      <c r="B11" s="3" t="b">
        <v>1</v>
      </c>
      <c r="C11" s="3" t="b">
        <v>1</v>
      </c>
      <c r="D11" s="3" t="b">
        <v>0</v>
      </c>
      <c r="E11" s="3" t="b">
        <v>1</v>
      </c>
      <c r="F11" s="3" t="b">
        <v>0</v>
      </c>
      <c r="H11" s="3" t="b">
        <v>0</v>
      </c>
      <c r="I11" s="6" t="s">
        <v>20</v>
      </c>
      <c r="J11" s="10" t="str">
        <f t="array" ref="J11:O11">XLOOKUP(I11, Zones[VLAN Name], Zones!$A$2:$F$9, "", -1)</f>
        <v>192.168.10.0/24</v>
      </c>
      <c r="K11" s="10">
        <v>10.0</v>
      </c>
      <c r="L11" s="10" t="s">
        <v>16</v>
      </c>
      <c r="M11" s="10" t="s">
        <v>17</v>
      </c>
      <c r="N11" s="10" t="s">
        <v>18</v>
      </c>
      <c r="O11" s="10" t="s">
        <v>19</v>
      </c>
      <c r="P11" s="11" t="s">
        <v>115</v>
      </c>
      <c r="Q11" s="6" t="s">
        <v>116</v>
      </c>
      <c r="R11" s="6" t="s">
        <v>117</v>
      </c>
      <c r="S11" s="3" t="s">
        <v>99</v>
      </c>
      <c r="T11" s="3" t="s">
        <v>118</v>
      </c>
      <c r="U11" s="10" t="str">
        <f t="array" ref="U11">IF(P11&lt;&gt;"", A11 &amp; "." &amp; XLOOKUP(P11, Zones!A:A, Zones!J:J, "", -1), "")</f>
        <v>pbs.mgmt.moyer.wtf</v>
      </c>
      <c r="W11" s="10" t="b">
        <f>IF(U11&lt;&gt;"", IF(COUNTIF(Services!$A:$A, U11)&gt;0, TRUE, FALSE), "")</f>
        <v>1</v>
      </c>
      <c r="X11" s="3" t="b">
        <v>1</v>
      </c>
      <c r="Y11" s="3" t="s">
        <v>103</v>
      </c>
      <c r="Z11" s="3" t="s">
        <v>104</v>
      </c>
      <c r="AA11" s="6" t="s">
        <v>100</v>
      </c>
      <c r="AD11" s="5" t="b">
        <v>0</v>
      </c>
      <c r="AE11" s="6" t="s">
        <v>119</v>
      </c>
      <c r="AF11" s="3">
        <v>2.0</v>
      </c>
      <c r="AG11" s="3">
        <v>2048.0</v>
      </c>
      <c r="AH11" s="3">
        <v>10.0</v>
      </c>
    </row>
    <row r="12" ht="22.5" customHeight="1">
      <c r="A12" s="3" t="s">
        <v>120</v>
      </c>
      <c r="B12" s="3" t="b">
        <v>1</v>
      </c>
      <c r="C12" s="3" t="b">
        <v>1</v>
      </c>
      <c r="D12" s="3" t="b">
        <v>0</v>
      </c>
      <c r="E12" s="3" t="b">
        <v>1</v>
      </c>
      <c r="F12" s="3" t="b">
        <v>0</v>
      </c>
      <c r="G12" s="3" t="b">
        <v>1</v>
      </c>
      <c r="H12" s="3" t="b">
        <v>0</v>
      </c>
      <c r="I12" s="6" t="s">
        <v>20</v>
      </c>
      <c r="J12" s="10" t="str">
        <f t="array" ref="J12:O12">XLOOKUP(I12, Zones[VLAN Name], Zones!$A$2:$F$9, "", -1)</f>
        <v>192.168.10.0/24</v>
      </c>
      <c r="K12" s="10">
        <v>10.0</v>
      </c>
      <c r="L12" s="10" t="s">
        <v>16</v>
      </c>
      <c r="M12" s="10" t="s">
        <v>17</v>
      </c>
      <c r="N12" s="10" t="s">
        <v>18</v>
      </c>
      <c r="O12" s="10" t="s">
        <v>19</v>
      </c>
      <c r="P12" s="11" t="s">
        <v>121</v>
      </c>
      <c r="Q12" s="6" t="s">
        <v>90</v>
      </c>
      <c r="R12" s="6" t="s">
        <v>122</v>
      </c>
      <c r="S12" s="3" t="s">
        <v>99</v>
      </c>
      <c r="U12" s="10" t="str">
        <f t="array" ref="U12">IF(P12&lt;&gt;"", A12 &amp; "." &amp; XLOOKUP(P12, Zones!A:A, Zones!J:J, "", -1), "")</f>
        <v>kanidm.mgmt.moyer.wtf</v>
      </c>
      <c r="W12" s="10" t="b">
        <f>IF(U12&lt;&gt;"", IF(COUNTIF(Services!$A:$A, U12)&gt;0, TRUE, FALSE), "")</f>
        <v>1</v>
      </c>
      <c r="X12" s="3" t="b">
        <v>1</v>
      </c>
      <c r="Y12" s="3" t="s">
        <v>123</v>
      </c>
      <c r="Z12" s="3" t="s">
        <v>104</v>
      </c>
      <c r="AA12" s="6" t="s">
        <v>110</v>
      </c>
      <c r="AB12" s="15" t="s">
        <v>124</v>
      </c>
      <c r="AC12" s="16"/>
      <c r="AD12" s="5" t="b">
        <v>0</v>
      </c>
      <c r="AE12" s="6" t="s">
        <v>125</v>
      </c>
      <c r="AF12" s="3">
        <v>2.0</v>
      </c>
      <c r="AG12" s="3">
        <v>4096.0</v>
      </c>
      <c r="AH12" s="3">
        <v>12.0</v>
      </c>
    </row>
    <row r="13" ht="22.5" customHeight="1">
      <c r="A13" s="14" t="s">
        <v>126</v>
      </c>
      <c r="B13" s="3" t="b">
        <v>1</v>
      </c>
      <c r="C13" s="3" t="b">
        <v>1</v>
      </c>
      <c r="D13" s="3" t="b">
        <v>0</v>
      </c>
      <c r="E13" s="3" t="b">
        <v>1</v>
      </c>
      <c r="F13" s="3" t="b">
        <v>0</v>
      </c>
      <c r="G13" s="3" t="b">
        <v>1</v>
      </c>
      <c r="H13" s="3" t="b">
        <v>0</v>
      </c>
      <c r="I13" s="6" t="s">
        <v>20</v>
      </c>
      <c r="J13" s="10" t="str">
        <f t="array" ref="J13:O13">XLOOKUP(I13, Zones[VLAN Name], Zones!$A$2:$F$9, "", -1)</f>
        <v>192.168.10.0/24</v>
      </c>
      <c r="K13" s="10">
        <v>10.0</v>
      </c>
      <c r="L13" s="10" t="s">
        <v>16</v>
      </c>
      <c r="M13" s="10" t="s">
        <v>17</v>
      </c>
      <c r="N13" s="10" t="s">
        <v>18</v>
      </c>
      <c r="O13" s="10" t="s">
        <v>19</v>
      </c>
      <c r="P13" s="11" t="s">
        <v>127</v>
      </c>
      <c r="Q13" s="6" t="s">
        <v>90</v>
      </c>
      <c r="R13" s="6" t="s">
        <v>122</v>
      </c>
      <c r="S13" s="3" t="s">
        <v>99</v>
      </c>
      <c r="U13" s="10" t="str">
        <f t="array" ref="U13">IF(P13&lt;&gt;"", A13 &amp; "." &amp; XLOOKUP(P13, Zones!A:A, Zones!J:J, "", -1), "")</f>
        <v>smtp-relay.mgmt.moyer.wtf</v>
      </c>
      <c r="W13" s="10" t="b">
        <f>IF(U13&lt;&gt;"", IF(COUNTIF(Services!$A:$A, U13)&gt;0, TRUE, FALSE), "")</f>
        <v>1</v>
      </c>
      <c r="X13" s="3" t="b">
        <v>1</v>
      </c>
      <c r="Y13" s="3" t="s">
        <v>128</v>
      </c>
      <c r="Z13" s="3" t="s">
        <v>129</v>
      </c>
      <c r="AA13" s="6" t="s">
        <v>106</v>
      </c>
      <c r="AB13" s="15" t="s">
        <v>130</v>
      </c>
      <c r="AC13" s="16"/>
      <c r="AD13" s="5" t="b">
        <v>0</v>
      </c>
      <c r="AE13" s="6" t="s">
        <v>125</v>
      </c>
      <c r="AF13" s="3">
        <v>1.0</v>
      </c>
      <c r="AG13" s="3">
        <v>512.0</v>
      </c>
      <c r="AH13" s="3">
        <v>4.0</v>
      </c>
    </row>
    <row r="14" ht="22.5" customHeight="1">
      <c r="A14" s="14" t="s">
        <v>131</v>
      </c>
      <c r="I14" s="6" t="s">
        <v>20</v>
      </c>
      <c r="J14" s="10" t="str">
        <f t="array" ref="J14:O14">XLOOKUP(I14, Zones[VLAN Name], Zones!$A$2:$F$9, "", -1)</f>
        <v>192.168.10.0/24</v>
      </c>
      <c r="K14" s="10">
        <v>10.0</v>
      </c>
      <c r="L14" s="10" t="s">
        <v>16</v>
      </c>
      <c r="M14" s="10" t="s">
        <v>17</v>
      </c>
      <c r="N14" s="10" t="s">
        <v>18</v>
      </c>
      <c r="O14" s="10" t="s">
        <v>19</v>
      </c>
      <c r="P14" s="11" t="s">
        <v>132</v>
      </c>
      <c r="Q14" s="6" t="s">
        <v>90</v>
      </c>
      <c r="R14" s="6" t="s">
        <v>133</v>
      </c>
      <c r="S14" s="3" t="s">
        <v>134</v>
      </c>
      <c r="U14" s="10" t="str">
        <f t="array" ref="U14">IF(P14&lt;&gt;"", A14 &amp; "." &amp; XLOOKUP(P14, Zones!A:A, Zones!J:J, "", -1), "")</f>
        <v>proxmox.mgmt.moyer.wtf</v>
      </c>
      <c r="W14" s="10" t="b">
        <f>IF(U14&lt;&gt;"", IF(COUNTIF(Services!$A:$A, U14)&gt;0, TRUE, FALSE), "")</f>
        <v>1</v>
      </c>
      <c r="X14" s="10" t="b">
        <v>0</v>
      </c>
      <c r="AA14" s="17"/>
      <c r="AD14" s="5" t="b">
        <v>1</v>
      </c>
      <c r="AE14" s="6" t="s">
        <v>119</v>
      </c>
    </row>
    <row r="15" ht="22.5" customHeight="1">
      <c r="A15" s="3" t="s">
        <v>135</v>
      </c>
      <c r="B15" s="3" t="b">
        <v>1</v>
      </c>
      <c r="C15" s="3" t="b">
        <v>1</v>
      </c>
      <c r="D15" s="3" t="b">
        <v>0</v>
      </c>
      <c r="F15" s="3" t="b">
        <v>0</v>
      </c>
      <c r="G15" s="3" t="b">
        <v>1</v>
      </c>
      <c r="H15" s="3" t="b">
        <v>0</v>
      </c>
      <c r="I15" s="6" t="s">
        <v>20</v>
      </c>
      <c r="J15" s="10" t="str">
        <f t="array" ref="J15:O15">XLOOKUP(I15, Zones[VLAN Name], Zones!$A$2:$F$9, "", -1)</f>
        <v>192.168.10.0/24</v>
      </c>
      <c r="K15" s="10">
        <v>10.0</v>
      </c>
      <c r="L15" s="10" t="s">
        <v>16</v>
      </c>
      <c r="M15" s="10" t="s">
        <v>17</v>
      </c>
      <c r="N15" s="10" t="s">
        <v>18</v>
      </c>
      <c r="O15" s="10" t="s">
        <v>19</v>
      </c>
      <c r="P15" s="11" t="s">
        <v>136</v>
      </c>
      <c r="Q15" s="6" t="s">
        <v>116</v>
      </c>
      <c r="R15" s="6" t="s">
        <v>91</v>
      </c>
      <c r="S15" s="3" t="s">
        <v>99</v>
      </c>
      <c r="T15" s="3" t="s">
        <v>137</v>
      </c>
      <c r="U15" s="10" t="str">
        <f t="array" ref="U15">IF(P15&lt;&gt;"", A15 &amp; "." &amp; XLOOKUP(P15, Zones!A:A, Zones!J:J, "", -1), "")</f>
        <v>uptime-kuma.mgmt.moyer.wtf</v>
      </c>
      <c r="W15" s="10" t="b">
        <f>IF(U15&lt;&gt;"", IF(COUNTIF(Services!$A:$A, U15)&gt;0, TRUE, FALSE), "")</f>
        <v>1</v>
      </c>
      <c r="X15" s="3" t="b">
        <v>1</v>
      </c>
      <c r="Y15" s="3" t="s">
        <v>138</v>
      </c>
      <c r="Z15" s="3" t="s">
        <v>129</v>
      </c>
      <c r="AA15" s="17"/>
      <c r="AD15" s="5" t="b">
        <v>0</v>
      </c>
      <c r="AE15" s="6" t="s">
        <v>105</v>
      </c>
    </row>
    <row r="16" ht="22.5" customHeight="1">
      <c r="A16" s="3" t="s">
        <v>139</v>
      </c>
      <c r="B16" s="3" t="b">
        <v>0</v>
      </c>
      <c r="C16" s="3" t="b">
        <v>1</v>
      </c>
      <c r="D16" s="3" t="b">
        <v>0</v>
      </c>
      <c r="E16" s="3" t="b">
        <v>0</v>
      </c>
      <c r="F16" s="3" t="b">
        <v>0</v>
      </c>
      <c r="G16" s="3" t="b">
        <v>1</v>
      </c>
      <c r="H16" s="3" t="b">
        <v>0</v>
      </c>
      <c r="I16" s="6" t="s">
        <v>20</v>
      </c>
      <c r="J16" s="10" t="str">
        <f t="array" ref="J16:O16">XLOOKUP(I16, Zones[VLAN Name], Zones!$A$2:$F$9, "", -1)</f>
        <v>192.168.10.0/24</v>
      </c>
      <c r="K16" s="10">
        <v>10.0</v>
      </c>
      <c r="L16" s="10" t="s">
        <v>16</v>
      </c>
      <c r="M16" s="10" t="s">
        <v>17</v>
      </c>
      <c r="N16" s="10" t="s">
        <v>18</v>
      </c>
      <c r="O16" s="10" t="s">
        <v>19</v>
      </c>
      <c r="P16" s="11" t="s">
        <v>140</v>
      </c>
      <c r="Q16" s="6" t="s">
        <v>116</v>
      </c>
      <c r="R16" s="6" t="s">
        <v>122</v>
      </c>
      <c r="S16" s="3" t="s">
        <v>99</v>
      </c>
      <c r="T16" s="3" t="s">
        <v>141</v>
      </c>
      <c r="U16" s="10" t="str">
        <f t="array" ref="U16">IF(P16&lt;&gt;"", A16 &amp; "." &amp; XLOOKUP(P16, Zones!A:A, Zones!J:J, "", -1), "")</f>
        <v>prometheus.mgmt.moyer.wtf</v>
      </c>
      <c r="W16" s="10" t="b">
        <f>IF(U16&lt;&gt;"", IF(COUNTIF(Services!$A:$A, U16)&gt;0, TRUE, FALSE), "")</f>
        <v>1</v>
      </c>
      <c r="X16" s="3" t="b">
        <v>1</v>
      </c>
      <c r="Y16" s="3" t="s">
        <v>142</v>
      </c>
      <c r="Z16" s="3" t="s">
        <v>129</v>
      </c>
      <c r="AA16" s="6" t="s">
        <v>108</v>
      </c>
      <c r="AB16" s="3" t="s">
        <v>143</v>
      </c>
      <c r="AC16" s="13"/>
      <c r="AD16" s="5" t="b">
        <v>0</v>
      </c>
      <c r="AE16" s="6" t="s">
        <v>125</v>
      </c>
      <c r="AF16" s="3">
        <v>1.0</v>
      </c>
      <c r="AG16" s="3">
        <v>2048.0</v>
      </c>
      <c r="AH16" s="3">
        <v>8.0</v>
      </c>
    </row>
    <row r="17" ht="22.5" customHeight="1">
      <c r="A17" s="3" t="s">
        <v>144</v>
      </c>
      <c r="B17" s="3" t="b">
        <v>0</v>
      </c>
      <c r="C17" s="3" t="b">
        <v>1</v>
      </c>
      <c r="D17" s="3" t="b">
        <v>0</v>
      </c>
      <c r="E17" s="3" t="b">
        <v>0</v>
      </c>
      <c r="G17" s="3" t="b">
        <v>1</v>
      </c>
      <c r="H17" s="3" t="b">
        <v>0</v>
      </c>
      <c r="I17" s="6" t="s">
        <v>20</v>
      </c>
      <c r="J17" s="10" t="str">
        <f t="array" ref="J17:O17">XLOOKUP(I17, Zones[VLAN Name], Zones!$A$2:$F$9, "", -1)</f>
        <v>192.168.10.0/24</v>
      </c>
      <c r="K17" s="10">
        <v>10.0</v>
      </c>
      <c r="L17" s="10" t="s">
        <v>16</v>
      </c>
      <c r="M17" s="10" t="s">
        <v>17</v>
      </c>
      <c r="N17" s="10" t="s">
        <v>18</v>
      </c>
      <c r="O17" s="10" t="s">
        <v>19</v>
      </c>
      <c r="P17" s="11" t="s">
        <v>145</v>
      </c>
      <c r="Q17" s="6" t="s">
        <v>116</v>
      </c>
      <c r="R17" s="6" t="s">
        <v>122</v>
      </c>
      <c r="S17" s="3" t="s">
        <v>99</v>
      </c>
      <c r="T17" s="3" t="s">
        <v>146</v>
      </c>
      <c r="U17" s="10" t="str">
        <f t="array" ref="U17">IF(P17&lt;&gt;"", A17 &amp; "." &amp; XLOOKUP(P17, Zones!A:A, Zones!J:J, "", -1), "")</f>
        <v>grafana.mgmt.moyer.wtf</v>
      </c>
      <c r="W17" s="10" t="b">
        <f>IF(U17&lt;&gt;"", IF(COUNTIF(Services!$A:$A, U17)&gt;0, TRUE, FALSE), "")</f>
        <v>1</v>
      </c>
      <c r="X17" s="3" t="b">
        <v>1</v>
      </c>
      <c r="Y17" s="3" t="s">
        <v>103</v>
      </c>
      <c r="Z17" s="3" t="s">
        <v>129</v>
      </c>
      <c r="AA17" s="6" t="s">
        <v>108</v>
      </c>
      <c r="AB17" s="3" t="s">
        <v>147</v>
      </c>
      <c r="AC17" s="13"/>
      <c r="AD17" s="5" t="b">
        <v>0</v>
      </c>
      <c r="AE17" s="6" t="s">
        <v>125</v>
      </c>
      <c r="AF17" s="3">
        <v>1.0</v>
      </c>
      <c r="AG17" s="3">
        <v>2048.0</v>
      </c>
      <c r="AH17" s="3">
        <v>8.0</v>
      </c>
    </row>
    <row r="18" ht="22.5" customHeight="1">
      <c r="A18" s="3" t="s">
        <v>148</v>
      </c>
      <c r="B18" s="3" t="b">
        <v>1</v>
      </c>
      <c r="C18" s="3" t="b">
        <v>1</v>
      </c>
      <c r="D18" s="3" t="b">
        <v>0</v>
      </c>
      <c r="E18" s="3" t="b">
        <v>1</v>
      </c>
      <c r="F18" s="3" t="b">
        <v>0</v>
      </c>
      <c r="G18" s="3" t="b">
        <v>0</v>
      </c>
      <c r="H18" s="3" t="b">
        <v>0</v>
      </c>
      <c r="I18" s="6" t="s">
        <v>44</v>
      </c>
      <c r="J18" s="10" t="str">
        <f t="array" ref="J18:O18">XLOOKUP(I18, Zones[VLAN Name], Zones!$A$2:$F$9, "", -1)</f>
        <v>192.168.100.0/24</v>
      </c>
      <c r="K18" s="10">
        <v>100.0</v>
      </c>
      <c r="L18" s="10" t="s">
        <v>42</v>
      </c>
      <c r="M18" s="10" t="s">
        <v>17</v>
      </c>
      <c r="N18" s="10" t="s">
        <v>43</v>
      </c>
      <c r="O18" s="10" t="s">
        <v>19</v>
      </c>
      <c r="P18" s="11" t="s">
        <v>17</v>
      </c>
      <c r="Q18" s="6" t="s">
        <v>90</v>
      </c>
      <c r="R18" s="6" t="s">
        <v>91</v>
      </c>
      <c r="S18" s="3" t="s">
        <v>99</v>
      </c>
      <c r="U18" s="10" t="str">
        <f t="array" ref="U18">IF(P18&lt;&gt;"", A18 &amp; "." &amp; XLOOKUP(P18, Zones!A:A, Zones!J:J, "", -1), "")</f>
        <v>pihole.hivemind.moyer.wtf</v>
      </c>
      <c r="W18" s="10" t="b">
        <f>IF(U18&lt;&gt;"", IF(COUNTIF(Services!$A:$A, U18)&gt;0, TRUE, FALSE), "")</f>
        <v>1</v>
      </c>
      <c r="X18" s="3" t="b">
        <v>1</v>
      </c>
      <c r="Y18" s="3" t="s">
        <v>149</v>
      </c>
      <c r="Z18" s="3" t="s">
        <v>150</v>
      </c>
      <c r="AA18" s="12"/>
      <c r="AB18" s="3"/>
      <c r="AC18" s="13"/>
      <c r="AD18" s="5" t="b">
        <v>0</v>
      </c>
      <c r="AE18" s="6" t="s">
        <v>105</v>
      </c>
      <c r="AF18" s="3"/>
      <c r="AG18" s="3"/>
      <c r="AH18" s="3"/>
    </row>
    <row r="19" ht="22.5" customHeight="1">
      <c r="A19" s="3" t="s">
        <v>151</v>
      </c>
      <c r="B19" s="3" t="b">
        <v>1</v>
      </c>
      <c r="C19" s="3" t="b">
        <v>1</v>
      </c>
      <c r="D19" s="3" t="b">
        <v>1</v>
      </c>
      <c r="G19" s="3" t="b">
        <v>0</v>
      </c>
      <c r="H19" s="3" t="b">
        <v>0</v>
      </c>
      <c r="I19" s="6" t="s">
        <v>44</v>
      </c>
      <c r="J19" s="10" t="str">
        <f t="array" ref="J19:O19">XLOOKUP(I19, Zones[VLAN Name], Zones!$A$2:$F$9, "", -1)</f>
        <v>192.168.100.0/24</v>
      </c>
      <c r="K19" s="10">
        <v>100.0</v>
      </c>
      <c r="L19" s="10" t="s">
        <v>42</v>
      </c>
      <c r="M19" s="10" t="s">
        <v>17</v>
      </c>
      <c r="N19" s="10" t="s">
        <v>43</v>
      </c>
      <c r="O19" s="10" t="s">
        <v>19</v>
      </c>
      <c r="P19" s="11" t="s">
        <v>152</v>
      </c>
      <c r="Q19" s="6" t="s">
        <v>116</v>
      </c>
      <c r="R19" s="6" t="s">
        <v>91</v>
      </c>
      <c r="S19" s="3" t="s">
        <v>153</v>
      </c>
      <c r="T19" s="3" t="s">
        <v>154</v>
      </c>
      <c r="U19" s="10" t="str">
        <f t="array" ref="U19">IF(P19&lt;&gt;"", A19 &amp; "." &amp; XLOOKUP(P19, Zones!A:A, Zones!J:J, "", -1), "")</f>
        <v>laptop.hivemind.moyer.wtf</v>
      </c>
      <c r="W19" s="10" t="b">
        <f>IF(U19&lt;&gt;"", IF(COUNTIF(Services!$A:$A, U19)&gt;0, TRUE, FALSE), "")</f>
        <v>0</v>
      </c>
      <c r="X19" s="3" t="b">
        <v>0</v>
      </c>
      <c r="Y19" s="3"/>
      <c r="Z19" s="3"/>
      <c r="AA19" s="6"/>
      <c r="AB19" s="3"/>
      <c r="AC19" s="13"/>
      <c r="AD19" s="5" t="b">
        <v>1</v>
      </c>
      <c r="AE19" s="6"/>
      <c r="AF19" s="3"/>
      <c r="AG19" s="3"/>
      <c r="AH19" s="3"/>
    </row>
    <row r="20" ht="22.5" customHeight="1">
      <c r="A20" s="3" t="s">
        <v>155</v>
      </c>
      <c r="B20" s="3" t="b">
        <v>1</v>
      </c>
      <c r="C20" s="3" t="b">
        <v>1</v>
      </c>
      <c r="I20" s="6" t="s">
        <v>44</v>
      </c>
      <c r="J20" s="10" t="str">
        <f t="array" ref="J20:O20">XLOOKUP(I20, Zones[VLAN Name], Zones!$A$2:$F$9, "", -1)</f>
        <v>192.168.100.0/24</v>
      </c>
      <c r="K20" s="10">
        <v>100.0</v>
      </c>
      <c r="L20" s="10" t="s">
        <v>42</v>
      </c>
      <c r="M20" s="10" t="s">
        <v>17</v>
      </c>
      <c r="N20" s="10" t="s">
        <v>43</v>
      </c>
      <c r="O20" s="10" t="s">
        <v>19</v>
      </c>
      <c r="P20" s="11" t="s">
        <v>156</v>
      </c>
      <c r="Q20" s="6" t="s">
        <v>116</v>
      </c>
      <c r="R20" s="6" t="s">
        <v>91</v>
      </c>
      <c r="S20" s="3" t="s">
        <v>157</v>
      </c>
      <c r="T20" s="3" t="s">
        <v>158</v>
      </c>
      <c r="U20" s="10" t="str">
        <f t="array" ref="U20">IF(P20&lt;&gt;"", A20 &amp; "." &amp; XLOOKUP(P20, Zones!A:A, Zones!J:J, "", -1), "")</f>
        <v>laptop-wifi-dongle.hivemind.moyer.wtf</v>
      </c>
      <c r="W20" s="10" t="b">
        <f>IF(U20&lt;&gt;"", IF(COUNTIF(Services!$A:$A, U20)&gt;0, TRUE, FALSE), "")</f>
        <v>0</v>
      </c>
      <c r="X20" s="3" t="b">
        <v>0</v>
      </c>
      <c r="Y20" s="3"/>
      <c r="Z20" s="3"/>
      <c r="AA20" s="6"/>
      <c r="AB20" s="3"/>
      <c r="AC20" s="13"/>
      <c r="AD20" s="5" t="b">
        <v>0</v>
      </c>
      <c r="AE20" s="6"/>
      <c r="AF20" s="3"/>
      <c r="AG20" s="3"/>
      <c r="AH20" s="3"/>
    </row>
    <row r="21" ht="22.5" customHeight="1">
      <c r="A21" s="3" t="s">
        <v>159</v>
      </c>
      <c r="B21" s="3" t="b">
        <v>1</v>
      </c>
      <c r="C21" s="3" t="b">
        <v>1</v>
      </c>
      <c r="I21" s="6" t="s">
        <v>44</v>
      </c>
      <c r="J21" s="10" t="str">
        <f t="array" ref="J21:O21">XLOOKUP(I21, Zones[VLAN Name], Zones!$A$2:$F$9, "", -1)</f>
        <v>192.168.100.0/24</v>
      </c>
      <c r="K21" s="10">
        <v>100.0</v>
      </c>
      <c r="L21" s="10" t="s">
        <v>42</v>
      </c>
      <c r="M21" s="10" t="s">
        <v>17</v>
      </c>
      <c r="N21" s="10" t="s">
        <v>43</v>
      </c>
      <c r="O21" s="10" t="s">
        <v>19</v>
      </c>
      <c r="P21" s="11" t="s">
        <v>160</v>
      </c>
      <c r="Q21" s="6" t="s">
        <v>116</v>
      </c>
      <c r="R21" s="6" t="s">
        <v>91</v>
      </c>
      <c r="S21" s="3" t="s">
        <v>99</v>
      </c>
      <c r="T21" s="3" t="s">
        <v>161</v>
      </c>
      <c r="U21" s="10" t="str">
        <f t="array" ref="U21">IF(P21&lt;&gt;"", A21 &amp; "." &amp; XLOOKUP(P21, Zones!A:A, Zones!J:J, "", -1), "")</f>
        <v>laptop-monitor.hivemind.moyer.wtf</v>
      </c>
      <c r="W21" s="10" t="b">
        <f>IF(U21&lt;&gt;"", IF(COUNTIF(Services!$A:$A, U21)&gt;0, TRUE, FALSE), "")</f>
        <v>0</v>
      </c>
      <c r="X21" s="3" t="b">
        <v>0</v>
      </c>
      <c r="Y21" s="3"/>
      <c r="Z21" s="3"/>
      <c r="AA21" s="6"/>
      <c r="AB21" s="3"/>
      <c r="AC21" s="13"/>
      <c r="AD21" s="5" t="b">
        <v>0</v>
      </c>
      <c r="AE21" s="6"/>
      <c r="AF21" s="3"/>
      <c r="AG21" s="3"/>
      <c r="AH21" s="3"/>
    </row>
    <row r="22" ht="22.5" customHeight="1">
      <c r="A22" s="3" t="s">
        <v>162</v>
      </c>
      <c r="B22" s="3" t="b">
        <v>1</v>
      </c>
      <c r="C22" s="3" t="b">
        <v>1</v>
      </c>
      <c r="I22" s="6" t="s">
        <v>44</v>
      </c>
      <c r="J22" s="10" t="str">
        <f t="array" ref="J22:O22">XLOOKUP(I22, Zones[VLAN Name], Zones!$A$2:$F$9, "", -1)</f>
        <v>192.168.100.0/24</v>
      </c>
      <c r="K22" s="10">
        <v>100.0</v>
      </c>
      <c r="L22" s="10" t="s">
        <v>42</v>
      </c>
      <c r="M22" s="10" t="s">
        <v>17</v>
      </c>
      <c r="N22" s="10" t="s">
        <v>43</v>
      </c>
      <c r="O22" s="10" t="s">
        <v>19</v>
      </c>
      <c r="P22" s="11" t="s">
        <v>163</v>
      </c>
      <c r="Q22" s="6" t="s">
        <v>116</v>
      </c>
      <c r="R22" s="6" t="s">
        <v>91</v>
      </c>
      <c r="S22" s="3" t="s">
        <v>99</v>
      </c>
      <c r="T22" s="3" t="s">
        <v>164</v>
      </c>
      <c r="U22" s="10" t="str">
        <f t="array" ref="U22">IF(P22&lt;&gt;"", A22 &amp; "." &amp; XLOOKUP(P22, Zones!A:A, Zones!J:J, "", -1), "")</f>
        <v>laptop-dock.hivemind.moyer.wtf</v>
      </c>
      <c r="W22" s="10" t="b">
        <f>IF(U22&lt;&gt;"", IF(COUNTIF(Services!$A:$A, U22)&gt;0, TRUE, FALSE), "")</f>
        <v>0</v>
      </c>
      <c r="X22" s="3" t="b">
        <v>0</v>
      </c>
      <c r="Y22" s="3"/>
      <c r="Z22" s="3"/>
      <c r="AA22" s="6"/>
      <c r="AB22" s="3"/>
      <c r="AC22" s="13"/>
      <c r="AD22" s="5" t="b">
        <v>0</v>
      </c>
      <c r="AE22" s="6"/>
      <c r="AF22" s="3"/>
      <c r="AG22" s="3"/>
      <c r="AH22" s="3"/>
    </row>
    <row r="23" ht="22.5" customHeight="1">
      <c r="A23" s="14" t="s">
        <v>165</v>
      </c>
      <c r="B23" s="3" t="b">
        <v>1</v>
      </c>
      <c r="C23" s="3" t="b">
        <v>1</v>
      </c>
      <c r="D23" s="3" t="b">
        <v>0</v>
      </c>
      <c r="E23" s="3" t="b">
        <v>1</v>
      </c>
      <c r="F23" s="3" t="b">
        <v>0</v>
      </c>
      <c r="G23" s="3" t="b">
        <v>1</v>
      </c>
      <c r="H23" s="3" t="b">
        <v>0</v>
      </c>
      <c r="I23" s="6" t="s">
        <v>29</v>
      </c>
      <c r="J23" s="10" t="str">
        <f t="array" ref="J23:O23">XLOOKUP(I23, Zones[VLAN Name], Zones!$A$2:$F$9, "", -1)</f>
        <v>192.168.20.0/24</v>
      </c>
      <c r="K23" s="10">
        <v>20.0</v>
      </c>
      <c r="L23" s="10" t="s">
        <v>27</v>
      </c>
      <c r="M23" s="10" t="s">
        <v>17</v>
      </c>
      <c r="N23" s="10" t="s">
        <v>28</v>
      </c>
      <c r="O23" s="10" t="s">
        <v>19</v>
      </c>
      <c r="P23" s="11" t="s">
        <v>166</v>
      </c>
      <c r="Q23" s="6" t="s">
        <v>90</v>
      </c>
      <c r="R23" s="6" t="s">
        <v>122</v>
      </c>
      <c r="S23" s="3" t="s">
        <v>99</v>
      </c>
      <c r="U23" s="10" t="str">
        <f t="array" ref="U23">IF(P23&lt;&gt;"", A23 &amp; "." &amp; XLOOKUP(P23, Zones!A:A, Zones!J:J, "", -1), "")</f>
        <v>caddy.dmz.moyer.wtf</v>
      </c>
      <c r="W23" s="10" t="b">
        <f>IF(U23&lt;&gt;"", IF(COUNTIF(Services!$A:$A, U23)&gt;0, TRUE, FALSE), "")</f>
        <v>0</v>
      </c>
      <c r="X23" s="3" t="b">
        <v>1</v>
      </c>
      <c r="Y23" s="3" t="s">
        <v>167</v>
      </c>
      <c r="Z23" s="3" t="s">
        <v>129</v>
      </c>
      <c r="AA23" s="18" t="s">
        <v>112</v>
      </c>
      <c r="AB23" s="15" t="s">
        <v>168</v>
      </c>
      <c r="AC23" s="16"/>
      <c r="AD23" s="5" t="b">
        <v>0</v>
      </c>
      <c r="AE23" s="6" t="s">
        <v>125</v>
      </c>
      <c r="AF23" s="3">
        <v>2.0</v>
      </c>
      <c r="AG23" s="3">
        <v>2048.0</v>
      </c>
      <c r="AH23" s="3">
        <v>6.0</v>
      </c>
    </row>
    <row r="24" ht="22.5" customHeight="1">
      <c r="A24" s="14" t="s">
        <v>169</v>
      </c>
      <c r="B24" s="3" t="b">
        <v>1</v>
      </c>
      <c r="C24" s="3" t="b">
        <v>1</v>
      </c>
      <c r="D24" s="3" t="b">
        <v>0</v>
      </c>
      <c r="E24" s="3" t="b">
        <v>1</v>
      </c>
      <c r="F24" s="3" t="b">
        <v>0</v>
      </c>
      <c r="G24" s="3" t="b">
        <v>1</v>
      </c>
      <c r="H24" s="3" t="b">
        <v>0</v>
      </c>
      <c r="I24" s="6" t="s">
        <v>29</v>
      </c>
      <c r="J24" s="10" t="str">
        <f t="array" ref="J24:O24">XLOOKUP(I24, Zones[VLAN Name], Zones!$A$2:$F$9, "", -1)</f>
        <v>192.168.20.0/24</v>
      </c>
      <c r="K24" s="10">
        <v>20.0</v>
      </c>
      <c r="L24" s="10" t="s">
        <v>27</v>
      </c>
      <c r="M24" s="10" t="s">
        <v>17</v>
      </c>
      <c r="N24" s="10" t="s">
        <v>28</v>
      </c>
      <c r="O24" s="10" t="s">
        <v>19</v>
      </c>
      <c r="P24" s="11" t="s">
        <v>170</v>
      </c>
      <c r="Q24" s="6" t="s">
        <v>116</v>
      </c>
      <c r="R24" s="6" t="s">
        <v>122</v>
      </c>
      <c r="S24" s="3" t="s">
        <v>99</v>
      </c>
      <c r="T24" s="14" t="s">
        <v>171</v>
      </c>
      <c r="U24" s="10" t="str">
        <f t="array" ref="U24">IF(P24&lt;&gt;"", A24 &amp; "." &amp; XLOOKUP(P24, Zones!A:A, Zones!J:J, "", -1), "")</f>
        <v>minecraft.dmz.moyer.wtf</v>
      </c>
      <c r="W24" s="10" t="b">
        <f>IF(U24&lt;&gt;"", IF(COUNTIF(Services!$A:$A, U24)&gt;0, TRUE, FALSE), "")</f>
        <v>1</v>
      </c>
      <c r="X24" s="3" t="b">
        <v>1</v>
      </c>
      <c r="Y24" s="3" t="s">
        <v>172</v>
      </c>
      <c r="Z24" s="3" t="s">
        <v>129</v>
      </c>
      <c r="AA24" s="6" t="s">
        <v>110</v>
      </c>
      <c r="AB24" s="3" t="s">
        <v>124</v>
      </c>
      <c r="AC24" s="13"/>
      <c r="AD24" s="5" t="b">
        <v>0</v>
      </c>
      <c r="AE24" s="6" t="s">
        <v>125</v>
      </c>
      <c r="AF24" s="3">
        <v>4.0</v>
      </c>
      <c r="AG24" s="3">
        <v>8192.0</v>
      </c>
      <c r="AH24" s="3">
        <v>40.0</v>
      </c>
    </row>
    <row r="25" ht="22.5" customHeight="1">
      <c r="A25" s="3" t="s">
        <v>173</v>
      </c>
      <c r="B25" s="3" t="b">
        <v>1</v>
      </c>
      <c r="C25" s="3" t="b">
        <v>1</v>
      </c>
      <c r="D25" s="3" t="b">
        <v>0</v>
      </c>
      <c r="E25" s="3" t="b">
        <v>0</v>
      </c>
      <c r="F25" s="3" t="b">
        <v>0</v>
      </c>
      <c r="G25" s="3" t="b">
        <v>1</v>
      </c>
      <c r="H25" s="3" t="b">
        <v>0</v>
      </c>
      <c r="I25" s="6" t="s">
        <v>29</v>
      </c>
      <c r="J25" s="10" t="str">
        <f t="array" ref="J25:O25">XLOOKUP(I25, Zones[VLAN Name], Zones!$A$2:$F$9, "", -1)</f>
        <v>192.168.20.0/24</v>
      </c>
      <c r="K25" s="10">
        <v>20.0</v>
      </c>
      <c r="L25" s="10" t="s">
        <v>27</v>
      </c>
      <c r="M25" s="10" t="s">
        <v>17</v>
      </c>
      <c r="N25" s="10" t="s">
        <v>28</v>
      </c>
      <c r="O25" s="10" t="s">
        <v>19</v>
      </c>
      <c r="P25" s="11" t="s">
        <v>174</v>
      </c>
      <c r="Q25" s="6" t="s">
        <v>116</v>
      </c>
      <c r="R25" s="6" t="s">
        <v>122</v>
      </c>
      <c r="S25" s="3" t="s">
        <v>99</v>
      </c>
      <c r="T25" s="3" t="s">
        <v>175</v>
      </c>
      <c r="U25" s="10" t="str">
        <f t="array" ref="U25">IF(P25&lt;&gt;"", A25 &amp; "." &amp; XLOOKUP(P25, Zones!A:A, Zones!J:J, "", -1), "")</f>
        <v>ts-router.dmz.moyer.wtf</v>
      </c>
      <c r="W25" s="10" t="b">
        <f>IF(U25&lt;&gt;"", IF(COUNTIF(Services!$A:$A, U25)&gt;0, TRUE, FALSE), "")</f>
        <v>0</v>
      </c>
      <c r="X25" s="3" t="b">
        <v>1</v>
      </c>
      <c r="Y25" s="3" t="s">
        <v>176</v>
      </c>
      <c r="Z25" s="3" t="s">
        <v>177</v>
      </c>
      <c r="AA25" s="6" t="s">
        <v>110</v>
      </c>
      <c r="AB25" s="3" t="s">
        <v>130</v>
      </c>
      <c r="AC25" s="13"/>
      <c r="AD25" s="5" t="b">
        <v>0</v>
      </c>
      <c r="AE25" s="6" t="s">
        <v>125</v>
      </c>
      <c r="AF25" s="3">
        <v>1.0</v>
      </c>
      <c r="AG25" s="3">
        <v>2048.0</v>
      </c>
      <c r="AH25" s="3">
        <v>4.0</v>
      </c>
    </row>
    <row r="26" ht="22.5" customHeight="1">
      <c r="A26" s="3" t="s">
        <v>178</v>
      </c>
      <c r="B26" s="3" t="b">
        <v>1</v>
      </c>
      <c r="C26" s="3" t="b">
        <v>1</v>
      </c>
      <c r="D26" s="3" t="b">
        <v>0</v>
      </c>
      <c r="E26" s="3" t="b">
        <v>1</v>
      </c>
      <c r="F26" s="3" t="b">
        <v>0</v>
      </c>
      <c r="G26" s="3" t="b">
        <v>1</v>
      </c>
      <c r="H26" s="3" t="b">
        <v>0</v>
      </c>
      <c r="I26" s="6" t="s">
        <v>37</v>
      </c>
      <c r="J26" s="10" t="str">
        <f t="array" ref="J26:O26">XLOOKUP(I26, Zones[VLAN Name], Zones!$A$2:$F$9, "", -1)</f>
        <v>192.168.30.0/24</v>
      </c>
      <c r="K26" s="10">
        <v>30.0</v>
      </c>
      <c r="L26" s="10" t="s">
        <v>35</v>
      </c>
      <c r="M26" s="10" t="s">
        <v>17</v>
      </c>
      <c r="N26" s="10" t="s">
        <v>36</v>
      </c>
      <c r="O26" s="10" t="s">
        <v>19</v>
      </c>
      <c r="P26" s="11" t="s">
        <v>179</v>
      </c>
      <c r="Q26" s="6" t="s">
        <v>116</v>
      </c>
      <c r="R26" s="6" t="s">
        <v>122</v>
      </c>
      <c r="S26" s="3" t="s">
        <v>99</v>
      </c>
      <c r="T26" s="10" t="s">
        <v>180</v>
      </c>
      <c r="U26" s="10" t="str">
        <f t="array" ref="U26">IF(P26&lt;&gt;"", A26 &amp; "." &amp; XLOOKUP(P26, Zones!A:A, Zones!J:J, "", -1), "")</f>
        <v>syncthing.homelab.moyer.wtf</v>
      </c>
      <c r="W26" s="10" t="b">
        <f>IF(U26&lt;&gt;"", IF(COUNTIF(Services!$A:$A, U26)&gt;0, TRUE, FALSE), "")</f>
        <v>1</v>
      </c>
      <c r="X26" s="3" t="b">
        <v>1</v>
      </c>
      <c r="Y26" s="3" t="s">
        <v>103</v>
      </c>
      <c r="Z26" s="3" t="s">
        <v>129</v>
      </c>
      <c r="AA26" s="6" t="s">
        <v>106</v>
      </c>
      <c r="AB26" s="3" t="s">
        <v>181</v>
      </c>
      <c r="AC26" s="13"/>
      <c r="AD26" s="5" t="b">
        <v>0</v>
      </c>
      <c r="AE26" s="6" t="s">
        <v>125</v>
      </c>
      <c r="AF26" s="3">
        <v>2.0</v>
      </c>
      <c r="AG26" s="3">
        <v>2048.0</v>
      </c>
      <c r="AH26" s="3">
        <v>40.0</v>
      </c>
    </row>
    <row r="27" ht="22.5" customHeight="1">
      <c r="A27" s="3" t="s">
        <v>182</v>
      </c>
      <c r="B27" s="3" t="b">
        <v>1</v>
      </c>
      <c r="C27" s="3" t="b">
        <v>1</v>
      </c>
      <c r="D27" s="3" t="b">
        <v>0</v>
      </c>
      <c r="E27" s="3" t="b">
        <v>1</v>
      </c>
      <c r="F27" s="3" t="b">
        <v>0</v>
      </c>
      <c r="G27" s="3" t="b">
        <v>1</v>
      </c>
      <c r="H27" s="3" t="b">
        <v>0</v>
      </c>
      <c r="I27" s="6" t="s">
        <v>37</v>
      </c>
      <c r="J27" s="10" t="str">
        <f t="array" ref="J27:O27">XLOOKUP(I27, Zones[VLAN Name], Zones!$A$2:$F$9, "", -1)</f>
        <v>192.168.30.0/24</v>
      </c>
      <c r="K27" s="10">
        <v>30.0</v>
      </c>
      <c r="L27" s="10" t="s">
        <v>35</v>
      </c>
      <c r="M27" s="10" t="s">
        <v>17</v>
      </c>
      <c r="N27" s="10" t="s">
        <v>36</v>
      </c>
      <c r="O27" s="10" t="s">
        <v>19</v>
      </c>
      <c r="P27" s="11" t="s">
        <v>183</v>
      </c>
      <c r="Q27" s="6" t="s">
        <v>116</v>
      </c>
      <c r="R27" s="6" t="s">
        <v>122</v>
      </c>
      <c r="S27" s="3" t="s">
        <v>99</v>
      </c>
      <c r="T27" s="3" t="s">
        <v>184</v>
      </c>
      <c r="U27" s="10" t="str">
        <f t="array" ref="U27">IF(P27&lt;&gt;"", A27 &amp; "." &amp; XLOOKUP(P27, Zones!A:A, Zones!J:J, "", -1), "")</f>
        <v>services.homelab.moyer.wtf</v>
      </c>
      <c r="W27" s="10" t="b">
        <f>IF(U27&lt;&gt;"", IF(COUNTIF(Services!$A:$A, U27)&gt;0, TRUE, FALSE), "")</f>
        <v>1</v>
      </c>
      <c r="X27" s="3" t="b">
        <v>1</v>
      </c>
      <c r="Y27" s="3" t="s">
        <v>185</v>
      </c>
      <c r="Z27" s="3" t="s">
        <v>129</v>
      </c>
      <c r="AA27" s="6" t="s">
        <v>106</v>
      </c>
      <c r="AB27" s="3" t="s">
        <v>124</v>
      </c>
      <c r="AC27" s="13"/>
      <c r="AD27" s="5" t="b">
        <v>0</v>
      </c>
      <c r="AE27" s="6" t="s">
        <v>125</v>
      </c>
      <c r="AF27" s="3">
        <v>1.0</v>
      </c>
      <c r="AG27" s="3">
        <v>512.0</v>
      </c>
      <c r="AH27" s="3">
        <v>4.0</v>
      </c>
    </row>
    <row r="28" ht="22.5" customHeight="1">
      <c r="A28" s="3" t="s">
        <v>186</v>
      </c>
      <c r="B28" s="3" t="b">
        <v>1</v>
      </c>
      <c r="C28" s="3" t="b">
        <v>1</v>
      </c>
      <c r="D28" s="3" t="b">
        <v>0</v>
      </c>
      <c r="E28" s="3" t="b">
        <v>1</v>
      </c>
      <c r="F28" s="3" t="b">
        <v>0</v>
      </c>
      <c r="G28" s="3" t="b">
        <v>1</v>
      </c>
      <c r="H28" s="3" t="b">
        <v>0</v>
      </c>
      <c r="I28" s="6" t="s">
        <v>37</v>
      </c>
      <c r="J28" s="10" t="str">
        <f t="array" ref="J28:O28">XLOOKUP(I28, Zones[VLAN Name], Zones!$A$2:$F$9, "", -1)</f>
        <v>192.168.30.0/24</v>
      </c>
      <c r="K28" s="10">
        <v>30.0</v>
      </c>
      <c r="L28" s="10" t="s">
        <v>35</v>
      </c>
      <c r="M28" s="10" t="s">
        <v>17</v>
      </c>
      <c r="N28" s="10" t="s">
        <v>36</v>
      </c>
      <c r="O28" s="10" t="s">
        <v>19</v>
      </c>
      <c r="P28" s="11" t="s">
        <v>187</v>
      </c>
      <c r="Q28" s="6" t="s">
        <v>116</v>
      </c>
      <c r="R28" s="6" t="s">
        <v>122</v>
      </c>
      <c r="S28" s="3" t="s">
        <v>99</v>
      </c>
      <c r="T28" s="14" t="s">
        <v>188</v>
      </c>
      <c r="U28" s="10" t="str">
        <f t="array" ref="U28">IF(P28&lt;&gt;"", A28 &amp; "." &amp; XLOOKUP(P28, Zones!A:A, Zones!J:J, "", -1), "")</f>
        <v>vaultwarden.homelab.moyer.wtf</v>
      </c>
      <c r="W28" s="10" t="b">
        <f>IF(U28&lt;&gt;"", IF(COUNTIF(Services!$A:$A, U28)&gt;0, TRUE, FALSE), "")</f>
        <v>1</v>
      </c>
      <c r="X28" s="3" t="b">
        <v>1</v>
      </c>
      <c r="Y28" s="3" t="s">
        <v>103</v>
      </c>
      <c r="Z28" s="3" t="s">
        <v>129</v>
      </c>
      <c r="AA28" s="6" t="s">
        <v>108</v>
      </c>
      <c r="AB28" s="3" t="s">
        <v>189</v>
      </c>
      <c r="AC28" s="13"/>
      <c r="AD28" s="5" t="b">
        <v>0</v>
      </c>
      <c r="AE28" s="6" t="s">
        <v>125</v>
      </c>
    </row>
    <row r="29" ht="22.5" customHeight="1">
      <c r="A29" s="3" t="s">
        <v>190</v>
      </c>
      <c r="B29" s="3" t="b">
        <v>1</v>
      </c>
      <c r="C29" s="3" t="b">
        <v>1</v>
      </c>
      <c r="D29" s="3" t="b">
        <v>0</v>
      </c>
      <c r="E29" s="3" t="b">
        <v>1</v>
      </c>
      <c r="F29" s="3" t="b">
        <v>0</v>
      </c>
      <c r="G29" s="3" t="b">
        <v>1</v>
      </c>
      <c r="H29" s="3" t="b">
        <v>0</v>
      </c>
      <c r="I29" s="6" t="s">
        <v>37</v>
      </c>
      <c r="J29" s="10" t="str">
        <f t="array" ref="J29:O29">XLOOKUP(I29, Zones[VLAN Name], Zones!$A$2:$F$9, "", -1)</f>
        <v>192.168.30.0/24</v>
      </c>
      <c r="K29" s="10">
        <v>30.0</v>
      </c>
      <c r="L29" s="10" t="s">
        <v>35</v>
      </c>
      <c r="M29" s="10" t="s">
        <v>17</v>
      </c>
      <c r="N29" s="10" t="s">
        <v>36</v>
      </c>
      <c r="O29" s="10" t="s">
        <v>19</v>
      </c>
      <c r="P29" s="14" t="s">
        <v>191</v>
      </c>
      <c r="Q29" s="6" t="s">
        <v>116</v>
      </c>
      <c r="R29" s="6" t="s">
        <v>122</v>
      </c>
      <c r="S29" s="3" t="s">
        <v>99</v>
      </c>
      <c r="T29" s="3" t="s">
        <v>192</v>
      </c>
      <c r="U29" s="10" t="str">
        <f t="array" ref="U29">IF(P29&lt;&gt;"", A29 &amp; "." &amp; XLOOKUP(P29, Zones!A:A, Zones!J:J, "", -1), "")</f>
        <v>homarr.homelab.moyer.wtf</v>
      </c>
      <c r="W29" s="10" t="b">
        <f>IF(U29&lt;&gt;"", IF(COUNTIF(Services!$A:$A, U29)&gt;0, TRUE, FALSE), "")</f>
        <v>1</v>
      </c>
      <c r="X29" s="3" t="b">
        <v>1</v>
      </c>
      <c r="Y29" s="3" t="s">
        <v>103</v>
      </c>
      <c r="Z29" s="3" t="s">
        <v>129</v>
      </c>
      <c r="AA29" s="6" t="s">
        <v>106</v>
      </c>
      <c r="AB29" s="3" t="s">
        <v>193</v>
      </c>
      <c r="AC29" s="13"/>
      <c r="AD29" s="5" t="b">
        <v>0</v>
      </c>
      <c r="AE29" s="6" t="s">
        <v>125</v>
      </c>
      <c r="AF29" s="3">
        <v>2.0</v>
      </c>
      <c r="AG29" s="3">
        <v>2048.0</v>
      </c>
      <c r="AH29" s="3">
        <v>8.0</v>
      </c>
    </row>
    <row r="30" ht="22.5" customHeight="1">
      <c r="A30" s="3" t="s">
        <v>194</v>
      </c>
      <c r="B30" s="3" t="b">
        <v>1</v>
      </c>
      <c r="C30" s="3" t="b">
        <v>1</v>
      </c>
      <c r="D30" s="3" t="b">
        <v>0</v>
      </c>
      <c r="E30" s="3" t="b">
        <v>1</v>
      </c>
      <c r="F30" s="3" t="b">
        <v>0</v>
      </c>
      <c r="G30" s="3" t="b">
        <v>1</v>
      </c>
      <c r="H30" s="3" t="b">
        <v>0</v>
      </c>
      <c r="I30" s="6" t="s">
        <v>37</v>
      </c>
      <c r="J30" s="10" t="str">
        <f t="array" ref="J30:O30">XLOOKUP(I30, Zones[VLAN Name], Zones!$A$2:$F$9, "", -1)</f>
        <v>192.168.30.0/24</v>
      </c>
      <c r="K30" s="10">
        <v>30.0</v>
      </c>
      <c r="L30" s="10" t="s">
        <v>35</v>
      </c>
      <c r="M30" s="10" t="s">
        <v>17</v>
      </c>
      <c r="N30" s="10" t="s">
        <v>36</v>
      </c>
      <c r="O30" s="10" t="s">
        <v>19</v>
      </c>
      <c r="P30" s="11" t="s">
        <v>195</v>
      </c>
      <c r="Q30" s="6" t="s">
        <v>116</v>
      </c>
      <c r="R30" s="6" t="s">
        <v>122</v>
      </c>
      <c r="S30" s="3" t="s">
        <v>99</v>
      </c>
      <c r="T30" s="3" t="s">
        <v>196</v>
      </c>
      <c r="U30" s="10" t="str">
        <f t="array" ref="U30">IF(P30&lt;&gt;"", A30 &amp; "." &amp; XLOOKUP(P30, Zones!A:A, Zones!J:J, "", -1), "")</f>
        <v>jellyfin.homelab.moyer.wtf</v>
      </c>
      <c r="W30" s="10" t="b">
        <f>IF(U30&lt;&gt;"", IF(COUNTIF(Services!$A:$A, U30)&gt;0, TRUE, FALSE), "")</f>
        <v>1</v>
      </c>
      <c r="X30" s="3" t="b">
        <v>1</v>
      </c>
      <c r="Y30" s="3" t="s">
        <v>103</v>
      </c>
      <c r="Z30" s="3" t="s">
        <v>129</v>
      </c>
      <c r="AA30" s="6" t="s">
        <v>112</v>
      </c>
      <c r="AB30" s="3" t="s">
        <v>197</v>
      </c>
      <c r="AC30" s="13"/>
      <c r="AD30" s="5" t="b">
        <v>0</v>
      </c>
      <c r="AE30" s="6" t="s">
        <v>125</v>
      </c>
      <c r="AF30" s="3">
        <v>2.0</v>
      </c>
      <c r="AG30" s="3">
        <v>2048.0</v>
      </c>
      <c r="AH30" s="3">
        <v>1000.0</v>
      </c>
    </row>
    <row r="31" ht="22.5" customHeight="1">
      <c r="A31" s="3" t="s">
        <v>198</v>
      </c>
      <c r="B31" s="3" t="b">
        <v>1</v>
      </c>
      <c r="C31" s="3" t="b">
        <v>1</v>
      </c>
      <c r="D31" s="3" t="b">
        <v>0</v>
      </c>
      <c r="E31" s="3" t="b">
        <v>1</v>
      </c>
      <c r="F31" s="3" t="b">
        <v>0</v>
      </c>
      <c r="G31" s="3" t="b">
        <v>1</v>
      </c>
      <c r="H31" s="3" t="b">
        <v>0</v>
      </c>
      <c r="I31" s="6" t="s">
        <v>37</v>
      </c>
      <c r="J31" s="10" t="str">
        <f t="array" ref="J31:O31">XLOOKUP(I31, Zones[VLAN Name], Zones!$A$2:$F$9, "", -1)</f>
        <v>192.168.30.0/24</v>
      </c>
      <c r="K31" s="10">
        <v>30.0</v>
      </c>
      <c r="L31" s="10" t="s">
        <v>35</v>
      </c>
      <c r="M31" s="10" t="s">
        <v>17</v>
      </c>
      <c r="N31" s="10" t="s">
        <v>36</v>
      </c>
      <c r="O31" s="10" t="s">
        <v>19</v>
      </c>
      <c r="P31" s="11" t="s">
        <v>199</v>
      </c>
      <c r="Q31" s="6" t="s">
        <v>116</v>
      </c>
      <c r="R31" s="6" t="s">
        <v>122</v>
      </c>
      <c r="S31" s="3" t="s">
        <v>99</v>
      </c>
      <c r="T31" s="14" t="s">
        <v>200</v>
      </c>
      <c r="U31" s="10" t="str">
        <f t="array" ref="U31">IF(P31&lt;&gt;"", A31 &amp; "." &amp; XLOOKUP(P31, Zones!A:A, Zones!J:J, "", -1), "")</f>
        <v>openwebui.homelab.moyer.wtf</v>
      </c>
      <c r="W31" s="10" t="b">
        <f>IF(U31&lt;&gt;"", IF(COUNTIF(Services!$A:$A, U31)&gt;0, TRUE, FALSE), "")</f>
        <v>1</v>
      </c>
      <c r="X31" s="3" t="b">
        <v>1</v>
      </c>
      <c r="Y31" s="3" t="s">
        <v>103</v>
      </c>
      <c r="Z31" s="3" t="s">
        <v>129</v>
      </c>
      <c r="AA31" s="6" t="s">
        <v>100</v>
      </c>
      <c r="AB31" s="3" t="s">
        <v>201</v>
      </c>
      <c r="AC31" s="13"/>
      <c r="AD31" s="5" t="b">
        <v>0</v>
      </c>
      <c r="AE31" s="6" t="s">
        <v>125</v>
      </c>
      <c r="AF31" s="3">
        <v>4.0</v>
      </c>
      <c r="AG31" s="3">
        <v>8192.0</v>
      </c>
      <c r="AH31" s="3">
        <v>48.0</v>
      </c>
    </row>
    <row r="32" ht="22.5" customHeight="1">
      <c r="A32" s="3" t="s">
        <v>202</v>
      </c>
      <c r="B32" s="3" t="b">
        <v>1</v>
      </c>
      <c r="C32" s="3" t="b">
        <v>1</v>
      </c>
      <c r="D32" s="3" t="b">
        <v>0</v>
      </c>
      <c r="E32" s="3" t="b">
        <v>1</v>
      </c>
      <c r="F32" s="3" t="b">
        <v>0</v>
      </c>
      <c r="G32" s="3" t="b">
        <v>1</v>
      </c>
      <c r="H32" s="3" t="b">
        <v>0</v>
      </c>
      <c r="I32" s="6" t="s">
        <v>37</v>
      </c>
      <c r="J32" s="10" t="str">
        <f t="array" ref="J32:O32">XLOOKUP(I32, Zones[VLAN Name], Zones!$A$2:$F$9, "", -1)</f>
        <v>192.168.30.0/24</v>
      </c>
      <c r="K32" s="10">
        <v>30.0</v>
      </c>
      <c r="L32" s="10" t="s">
        <v>35</v>
      </c>
      <c r="M32" s="10" t="s">
        <v>17</v>
      </c>
      <c r="N32" s="10" t="s">
        <v>36</v>
      </c>
      <c r="O32" s="10" t="s">
        <v>19</v>
      </c>
      <c r="P32" s="11" t="s">
        <v>203</v>
      </c>
      <c r="Q32" s="6" t="s">
        <v>116</v>
      </c>
      <c r="R32" s="6" t="s">
        <v>117</v>
      </c>
      <c r="S32" s="3" t="s">
        <v>99</v>
      </c>
      <c r="T32" s="3" t="s">
        <v>204</v>
      </c>
      <c r="U32" s="10" t="str">
        <f t="array" ref="U32">IF(P32&lt;&gt;"", A32 &amp; "." &amp; XLOOKUP(P32, Zones!A:A, Zones!J:J, "", -1), "")</f>
        <v>ollama.homelab.moyer.wtf</v>
      </c>
      <c r="W32" s="10" t="b">
        <f>IF(U32&lt;&gt;"", IF(COUNTIF(Services!$A:$A, U32)&gt;0, TRUE, FALSE), "")</f>
        <v>1</v>
      </c>
      <c r="X32" s="3" t="b">
        <v>1</v>
      </c>
      <c r="Y32" s="3" t="s">
        <v>205</v>
      </c>
      <c r="Z32" s="3" t="s">
        <v>129</v>
      </c>
      <c r="AA32" s="6" t="s">
        <v>100</v>
      </c>
      <c r="AB32" s="3" t="s">
        <v>206</v>
      </c>
      <c r="AC32" s="13"/>
      <c r="AD32" s="5" t="b">
        <v>0</v>
      </c>
      <c r="AE32" s="6" t="s">
        <v>125</v>
      </c>
      <c r="AF32" s="3">
        <v>4.0</v>
      </c>
      <c r="AG32" s="3">
        <v>16384.0</v>
      </c>
      <c r="AH32" s="3">
        <v>1000.0</v>
      </c>
    </row>
    <row r="33" ht="22.5" customHeight="1">
      <c r="A33" s="3" t="s">
        <v>207</v>
      </c>
      <c r="B33" s="3" t="b">
        <v>1</v>
      </c>
      <c r="C33" s="3" t="b">
        <v>1</v>
      </c>
      <c r="D33" s="3" t="b">
        <v>0</v>
      </c>
      <c r="E33" s="3" t="b">
        <v>1</v>
      </c>
      <c r="F33" s="3" t="b">
        <v>0</v>
      </c>
      <c r="G33" s="3" t="b">
        <v>1</v>
      </c>
      <c r="H33" s="3" t="b">
        <v>0</v>
      </c>
      <c r="I33" s="6" t="s">
        <v>37</v>
      </c>
      <c r="J33" s="10" t="str">
        <f t="array" ref="J33:O33">XLOOKUP(I33, Zones[VLAN Name], Zones!$A$2:$F$9, "", -1)</f>
        <v>192.168.30.0/24</v>
      </c>
      <c r="K33" s="10">
        <v>30.0</v>
      </c>
      <c r="L33" s="10" t="s">
        <v>35</v>
      </c>
      <c r="M33" s="10" t="s">
        <v>17</v>
      </c>
      <c r="N33" s="10" t="s">
        <v>36</v>
      </c>
      <c r="O33" s="10" t="s">
        <v>19</v>
      </c>
      <c r="P33" s="11" t="s">
        <v>208</v>
      </c>
      <c r="Q33" s="6" t="s">
        <v>116</v>
      </c>
      <c r="R33" s="6" t="s">
        <v>122</v>
      </c>
      <c r="S33" s="3" t="s">
        <v>99</v>
      </c>
      <c r="T33" s="3" t="s">
        <v>209</v>
      </c>
      <c r="U33" s="10" t="str">
        <f t="array" ref="U33">IF(P33&lt;&gt;"", A33 &amp; "." &amp; XLOOKUP(P33, Zones!A:A, Zones!J:J, "", -1), "")</f>
        <v>gitea.homelab.moyer.wtf</v>
      </c>
      <c r="V33" s="19"/>
      <c r="W33" s="10" t="b">
        <f>IF(U33&lt;&gt;"", IF(COUNTIF(Services!$A:$A, U33)&gt;0, TRUE, FALSE), "")</f>
        <v>1</v>
      </c>
      <c r="X33" s="3" t="b">
        <v>1</v>
      </c>
      <c r="Y33" s="3" t="s">
        <v>103</v>
      </c>
      <c r="Z33" s="3" t="s">
        <v>129</v>
      </c>
      <c r="AA33" s="6" t="s">
        <v>108</v>
      </c>
      <c r="AB33" s="3" t="s">
        <v>210</v>
      </c>
      <c r="AC33" s="13"/>
      <c r="AD33" s="5" t="b">
        <v>0</v>
      </c>
      <c r="AE33" s="6" t="s">
        <v>125</v>
      </c>
      <c r="AF33" s="3">
        <v>1.0</v>
      </c>
      <c r="AG33" s="3">
        <v>1024.0</v>
      </c>
      <c r="AH33" s="3">
        <v>100.0</v>
      </c>
    </row>
    <row r="34" ht="22.5" customHeight="1">
      <c r="A34" s="3" t="s">
        <v>211</v>
      </c>
      <c r="B34" s="3" t="b">
        <v>1</v>
      </c>
      <c r="C34" s="3" t="b">
        <v>1</v>
      </c>
      <c r="D34" s="3" t="b">
        <v>0</v>
      </c>
      <c r="E34" s="3" t="b">
        <v>1</v>
      </c>
      <c r="F34" s="3" t="b">
        <v>0</v>
      </c>
      <c r="G34" s="3" t="b">
        <v>1</v>
      </c>
      <c r="H34" s="3" t="b">
        <v>0</v>
      </c>
      <c r="I34" s="6" t="s">
        <v>37</v>
      </c>
      <c r="J34" s="10" t="str">
        <f t="array" ref="J34:O34">XLOOKUP(I34, Zones[VLAN Name], Zones!$A$2:$F$9, "", -1)</f>
        <v>192.168.30.0/24</v>
      </c>
      <c r="K34" s="10">
        <v>30.0</v>
      </c>
      <c r="L34" s="10" t="s">
        <v>35</v>
      </c>
      <c r="M34" s="10" t="s">
        <v>17</v>
      </c>
      <c r="N34" s="10" t="s">
        <v>36</v>
      </c>
      <c r="O34" s="10" t="s">
        <v>19</v>
      </c>
      <c r="P34" s="11" t="s">
        <v>212</v>
      </c>
      <c r="Q34" s="6" t="s">
        <v>116</v>
      </c>
      <c r="R34" s="6" t="s">
        <v>122</v>
      </c>
      <c r="S34" s="3" t="s">
        <v>99</v>
      </c>
      <c r="T34" s="3" t="s">
        <v>213</v>
      </c>
      <c r="U34" s="10" t="str">
        <f t="array" ref="U34">IF(P34&lt;&gt;"", A34 &amp; "." &amp; XLOOKUP(P34, Zones!A:A, Zones!J:J, "", -1), "")</f>
        <v>gitea-runner.homelab.moyer.wtf</v>
      </c>
      <c r="W34" s="10" t="b">
        <f>IF(U34&lt;&gt;"", IF(COUNTIF(Services!$A:$A, U34)&gt;0, TRUE, FALSE), "")</f>
        <v>1</v>
      </c>
      <c r="X34" s="3" t="b">
        <v>1</v>
      </c>
      <c r="Y34" s="3" t="s">
        <v>214</v>
      </c>
      <c r="Z34" s="3" t="s">
        <v>129</v>
      </c>
      <c r="AA34" s="6" t="s">
        <v>110</v>
      </c>
      <c r="AB34" s="3" t="s">
        <v>124</v>
      </c>
      <c r="AC34" s="13"/>
      <c r="AD34" s="5" t="b">
        <v>0</v>
      </c>
      <c r="AE34" s="6" t="s">
        <v>125</v>
      </c>
      <c r="AF34" s="3">
        <v>2.0</v>
      </c>
      <c r="AG34" s="3">
        <v>2048.0</v>
      </c>
      <c r="AH34" s="3">
        <v>100.0</v>
      </c>
    </row>
    <row r="35" ht="22.5" customHeight="1">
      <c r="A35" s="3" t="s">
        <v>215</v>
      </c>
      <c r="B35" s="3" t="b">
        <v>1</v>
      </c>
      <c r="C35" s="3" t="b">
        <v>1</v>
      </c>
      <c r="D35" s="3" t="b">
        <v>0</v>
      </c>
      <c r="E35" s="3" t="b">
        <v>1</v>
      </c>
      <c r="F35" s="3" t="b">
        <v>0</v>
      </c>
      <c r="G35" s="3" t="b">
        <v>1</v>
      </c>
      <c r="H35" s="3" t="b">
        <v>0</v>
      </c>
      <c r="I35" s="6" t="s">
        <v>37</v>
      </c>
      <c r="J35" s="10" t="str">
        <f t="array" ref="J35:O35">XLOOKUP(I35, Zones[VLAN Name], Zones!$A$2:$F$9, "", -1)</f>
        <v>192.168.30.0/24</v>
      </c>
      <c r="K35" s="10">
        <v>30.0</v>
      </c>
      <c r="L35" s="10" t="s">
        <v>35</v>
      </c>
      <c r="M35" s="10" t="s">
        <v>17</v>
      </c>
      <c r="N35" s="10" t="s">
        <v>36</v>
      </c>
      <c r="O35" s="10" t="s">
        <v>19</v>
      </c>
      <c r="P35" s="11" t="s">
        <v>216</v>
      </c>
      <c r="Q35" s="6" t="s">
        <v>116</v>
      </c>
      <c r="R35" s="6" t="s">
        <v>122</v>
      </c>
      <c r="S35" s="3" t="s">
        <v>99</v>
      </c>
      <c r="T35" s="3" t="s">
        <v>217</v>
      </c>
      <c r="U35" s="20" t="str">
        <f t="array" ref="U35">IF(P35&lt;&gt;"", A35 &amp; "." &amp; XLOOKUP(P35, Zones!A:A, Zones!J:J, "", -1), "")</f>
        <v>www.homelab.moyer.wtf</v>
      </c>
      <c r="W35" s="10" t="b">
        <f>IF(U35&lt;&gt;"", IF(COUNTIF(Services!$A:$A, U35)&gt;0, TRUE, FALSE), "")</f>
        <v>1</v>
      </c>
      <c r="X35" s="3" t="b">
        <v>1</v>
      </c>
      <c r="Y35" s="21" t="s">
        <v>218</v>
      </c>
      <c r="Z35" s="3" t="s">
        <v>129</v>
      </c>
      <c r="AA35" s="6" t="s">
        <v>112</v>
      </c>
      <c r="AB35" s="3" t="s">
        <v>124</v>
      </c>
      <c r="AC35" s="13"/>
      <c r="AD35" s="5" t="b">
        <v>0</v>
      </c>
      <c r="AE35" s="6" t="s">
        <v>125</v>
      </c>
      <c r="AF35" s="3">
        <v>1.0</v>
      </c>
      <c r="AG35" s="3">
        <v>512.0</v>
      </c>
      <c r="AH35" s="3">
        <v>10.0</v>
      </c>
    </row>
    <row r="36" ht="22.5" customHeight="1">
      <c r="A36" s="14" t="s">
        <v>219</v>
      </c>
      <c r="B36" s="3" t="b">
        <v>1</v>
      </c>
      <c r="C36" s="3" t="b">
        <v>1</v>
      </c>
      <c r="D36" s="3" t="b">
        <v>0</v>
      </c>
      <c r="E36" s="3" t="b">
        <v>1</v>
      </c>
      <c r="F36" s="3" t="b">
        <v>0</v>
      </c>
      <c r="G36" s="3" t="b">
        <v>1</v>
      </c>
      <c r="H36" s="3" t="b">
        <v>0</v>
      </c>
      <c r="I36" s="6" t="s">
        <v>37</v>
      </c>
      <c r="J36" s="10" t="str">
        <f t="array" ref="J36:O36">XLOOKUP(I36, Zones[VLAN Name], Zones!$A$2:$F$9, "", -1)</f>
        <v>192.168.30.0/24</v>
      </c>
      <c r="K36" s="10">
        <v>30.0</v>
      </c>
      <c r="L36" s="10" t="s">
        <v>35</v>
      </c>
      <c r="M36" s="10" t="s">
        <v>17</v>
      </c>
      <c r="N36" s="10" t="s">
        <v>36</v>
      </c>
      <c r="O36" s="10" t="s">
        <v>19</v>
      </c>
      <c r="P36" s="11" t="s">
        <v>220</v>
      </c>
      <c r="Q36" s="6" t="s">
        <v>116</v>
      </c>
      <c r="R36" s="6" t="s">
        <v>122</v>
      </c>
      <c r="S36" s="3" t="s">
        <v>99</v>
      </c>
      <c r="T36" s="3" t="s">
        <v>221</v>
      </c>
      <c r="U36" s="10" t="str">
        <f t="array" ref="U36">IF(P36&lt;&gt;"", A36 &amp; "." &amp; XLOOKUP(P36, Zones!A:A, Zones!J:J, "", -1), "")</f>
        <v>firefly-iii.homelab.moyer.wtf</v>
      </c>
      <c r="W36" s="10" t="b">
        <f>IF(U36&lt;&gt;"", IF(COUNTIF(Services!$A:$A, U36)&gt;0, TRUE, FALSE), "")</f>
        <v>1</v>
      </c>
      <c r="X36" s="3" t="b">
        <v>1</v>
      </c>
      <c r="Y36" s="3" t="s">
        <v>103</v>
      </c>
      <c r="Z36" s="3" t="s">
        <v>129</v>
      </c>
      <c r="AA36" s="6" t="s">
        <v>108</v>
      </c>
      <c r="AB36" s="3" t="s">
        <v>222</v>
      </c>
      <c r="AC36" s="13"/>
      <c r="AD36" s="5" t="b">
        <v>0</v>
      </c>
      <c r="AE36" s="6" t="s">
        <v>125</v>
      </c>
      <c r="AF36" s="3">
        <v>2.0</v>
      </c>
      <c r="AG36" s="3">
        <v>2048.0</v>
      </c>
      <c r="AH36" s="3">
        <v>10.0</v>
      </c>
    </row>
    <row r="37" ht="22.5" customHeight="1">
      <c r="A37" s="3" t="s">
        <v>223</v>
      </c>
      <c r="B37" s="3" t="b">
        <v>1</v>
      </c>
      <c r="C37" s="3" t="b">
        <v>1</v>
      </c>
      <c r="D37" s="3" t="b">
        <v>0</v>
      </c>
      <c r="E37" s="3" t="b">
        <v>1</v>
      </c>
      <c r="F37" s="3" t="b">
        <v>0</v>
      </c>
      <c r="G37" s="3" t="b">
        <v>1</v>
      </c>
      <c r="H37" s="3" t="b">
        <v>0</v>
      </c>
      <c r="I37" s="6" t="s">
        <v>37</v>
      </c>
      <c r="J37" s="10" t="str">
        <f t="array" ref="J37:O37">XLOOKUP(I37, Zones[VLAN Name], Zones!$A$2:$F$9, "", -1)</f>
        <v>192.168.30.0/24</v>
      </c>
      <c r="K37" s="10">
        <v>30.0</v>
      </c>
      <c r="L37" s="10" t="s">
        <v>35</v>
      </c>
      <c r="M37" s="10" t="s">
        <v>17</v>
      </c>
      <c r="N37" s="10" t="s">
        <v>36</v>
      </c>
      <c r="O37" s="10" t="s">
        <v>19</v>
      </c>
      <c r="P37" s="11" t="s">
        <v>224</v>
      </c>
      <c r="Q37" s="6" t="s">
        <v>116</v>
      </c>
      <c r="R37" s="6" t="s">
        <v>122</v>
      </c>
      <c r="S37" s="3" t="s">
        <v>99</v>
      </c>
      <c r="T37" s="3" t="s">
        <v>225</v>
      </c>
      <c r="U37" s="10" t="str">
        <f t="array" ref="U37">IF(P37&lt;&gt;"", A37 &amp; "." &amp; XLOOKUP(P37, Zones!A:A, Zones!J:J, "", -1), "")</f>
        <v>freshrss.homelab.moyer.wtf</v>
      </c>
      <c r="W37" s="10" t="b">
        <f>IF(U37&lt;&gt;"", IF(COUNTIF(Services!$A:$A, U37)&gt;0, TRUE, FALSE), "")</f>
        <v>1</v>
      </c>
      <c r="X37" s="3" t="b">
        <v>1</v>
      </c>
      <c r="Y37" s="3" t="s">
        <v>103</v>
      </c>
      <c r="Z37" s="3" t="s">
        <v>129</v>
      </c>
      <c r="AA37" s="6" t="s">
        <v>110</v>
      </c>
      <c r="AB37" s="3" t="s">
        <v>226</v>
      </c>
      <c r="AC37" s="13"/>
      <c r="AD37" s="5" t="b">
        <v>0</v>
      </c>
      <c r="AE37" s="6" t="s">
        <v>125</v>
      </c>
      <c r="AF37" s="3">
        <v>2.0</v>
      </c>
      <c r="AG37" s="3">
        <v>1024.0</v>
      </c>
      <c r="AH37" s="3">
        <v>10.0</v>
      </c>
    </row>
    <row r="38" ht="22.5" customHeight="1">
      <c r="A38" s="3" t="s">
        <v>227</v>
      </c>
      <c r="B38" s="3" t="b">
        <v>1</v>
      </c>
      <c r="C38" s="3" t="b">
        <v>1</v>
      </c>
      <c r="D38" s="3" t="b">
        <v>0</v>
      </c>
      <c r="E38" s="3" t="b">
        <v>1</v>
      </c>
      <c r="F38" s="3" t="b">
        <v>0</v>
      </c>
      <c r="G38" s="3" t="b">
        <v>1</v>
      </c>
      <c r="H38" s="3" t="b">
        <v>0</v>
      </c>
      <c r="I38" s="6" t="s">
        <v>37</v>
      </c>
      <c r="J38" s="10" t="str">
        <f t="array" ref="J38:O38">XLOOKUP(I38, Zones[VLAN Name], Zones!$A$2:$F$9, "", -1)</f>
        <v>192.168.30.0/24</v>
      </c>
      <c r="K38" s="10">
        <v>30.0</v>
      </c>
      <c r="L38" s="10" t="s">
        <v>35</v>
      </c>
      <c r="M38" s="10" t="s">
        <v>17</v>
      </c>
      <c r="N38" s="10" t="s">
        <v>36</v>
      </c>
      <c r="O38" s="10" t="s">
        <v>19</v>
      </c>
      <c r="P38" s="11" t="s">
        <v>228</v>
      </c>
      <c r="Q38" s="6" t="s">
        <v>116</v>
      </c>
      <c r="R38" s="6" t="s">
        <v>122</v>
      </c>
      <c r="S38" s="3" t="s">
        <v>99</v>
      </c>
      <c r="T38" s="3" t="s">
        <v>229</v>
      </c>
      <c r="U38" s="10" t="str">
        <f t="array" ref="U38">IF(P38&lt;&gt;"", A38 &amp; "." &amp; XLOOKUP(P38, Zones!A:A, Zones!J:J, "", -1), "")</f>
        <v>guac.homelab.moyer.wtf</v>
      </c>
      <c r="W38" s="10" t="b">
        <f>IF(U38&lt;&gt;"", IF(COUNTIF(Services!$A:$A, U38)&gt;0, TRUE, FALSE), "")</f>
        <v>1</v>
      </c>
      <c r="X38" s="3" t="b">
        <v>1</v>
      </c>
      <c r="Y38" s="3" t="s">
        <v>230</v>
      </c>
      <c r="Z38" s="3" t="s">
        <v>231</v>
      </c>
      <c r="AA38" s="6" t="s">
        <v>112</v>
      </c>
      <c r="AB38" s="3" t="s">
        <v>232</v>
      </c>
      <c r="AC38" s="13"/>
      <c r="AD38" s="5" t="b">
        <v>0</v>
      </c>
      <c r="AE38" s="6" t="s">
        <v>125</v>
      </c>
      <c r="AF38" s="3">
        <v>1.0</v>
      </c>
      <c r="AG38" s="3">
        <v>2048.0</v>
      </c>
      <c r="AH38" s="3">
        <v>4.0</v>
      </c>
    </row>
    <row r="39" ht="22.5" customHeight="1">
      <c r="A39" s="3" t="s">
        <v>233</v>
      </c>
      <c r="B39" s="3" t="b">
        <v>1</v>
      </c>
      <c r="C39" s="3" t="b">
        <v>1</v>
      </c>
      <c r="D39" s="3" t="b">
        <v>0</v>
      </c>
      <c r="E39" s="3" t="b">
        <v>1</v>
      </c>
      <c r="F39" s="3" t="b">
        <v>0</v>
      </c>
      <c r="G39" s="3" t="b">
        <v>1</v>
      </c>
      <c r="H39" s="3" t="b">
        <v>0</v>
      </c>
      <c r="I39" s="6" t="s">
        <v>37</v>
      </c>
      <c r="J39" s="10" t="str">
        <f t="array" ref="J39:O39">XLOOKUP(I39, Zones[VLAN Name], Zones!$A$2:$F$9, "", -1)</f>
        <v>192.168.30.0/24</v>
      </c>
      <c r="K39" s="10">
        <v>30.0</v>
      </c>
      <c r="L39" s="10" t="s">
        <v>35</v>
      </c>
      <c r="M39" s="10" t="s">
        <v>17</v>
      </c>
      <c r="N39" s="10" t="s">
        <v>36</v>
      </c>
      <c r="O39" s="10" t="s">
        <v>19</v>
      </c>
      <c r="P39" s="11" t="s">
        <v>234</v>
      </c>
      <c r="Q39" s="6" t="s">
        <v>116</v>
      </c>
      <c r="R39" s="6" t="s">
        <v>122</v>
      </c>
      <c r="S39" s="3" t="s">
        <v>99</v>
      </c>
      <c r="T39" s="3" t="s">
        <v>235</v>
      </c>
      <c r="U39" s="10" t="str">
        <f t="array" ref="U39">IF(P39&lt;&gt;"", A39 &amp; "." &amp; XLOOKUP(P39, Zones!A:A, Zones!J:J, "", -1), "")</f>
        <v>paperclip.homelab.moyer.wtf</v>
      </c>
      <c r="W39" s="10" t="b">
        <f>IF(U39&lt;&gt;"", IF(COUNTIF(Services!$A:$A, U39)&gt;0, TRUE, FALSE), "")</f>
        <v>1</v>
      </c>
      <c r="X39" s="3" t="b">
        <v>1</v>
      </c>
      <c r="Y39" s="3" t="s">
        <v>103</v>
      </c>
      <c r="Z39" s="3" t="s">
        <v>129</v>
      </c>
      <c r="AA39" s="6" t="s">
        <v>100</v>
      </c>
      <c r="AD39" s="5" t="b">
        <v>0</v>
      </c>
      <c r="AE39" s="6" t="s">
        <v>119</v>
      </c>
      <c r="AF39" s="3">
        <v>4.0</v>
      </c>
      <c r="AG39" s="3">
        <v>4096.0</v>
      </c>
      <c r="AH39" s="3">
        <v>100.0</v>
      </c>
    </row>
    <row r="40" ht="22.5" customHeight="1">
      <c r="A40" s="3" t="s">
        <v>236</v>
      </c>
      <c r="B40" s="3" t="b">
        <v>1</v>
      </c>
      <c r="C40" s="3" t="b">
        <v>1</v>
      </c>
      <c r="D40" s="3" t="b">
        <v>0</v>
      </c>
      <c r="E40" s="3" t="b">
        <v>0</v>
      </c>
      <c r="F40" s="3" t="b">
        <v>0</v>
      </c>
      <c r="G40" s="3" t="b">
        <v>1</v>
      </c>
      <c r="H40" s="3" t="b">
        <v>0</v>
      </c>
      <c r="I40" s="6" t="s">
        <v>37</v>
      </c>
      <c r="J40" s="10" t="str">
        <f t="array" ref="J40:O40">XLOOKUP(I40, Zones[VLAN Name], Zones!$A$2:$F$9, "", -1)</f>
        <v>192.168.30.0/24</v>
      </c>
      <c r="K40" s="10">
        <v>30.0</v>
      </c>
      <c r="L40" s="10" t="s">
        <v>35</v>
      </c>
      <c r="M40" s="10" t="s">
        <v>17</v>
      </c>
      <c r="N40" s="10" t="s">
        <v>36</v>
      </c>
      <c r="O40" s="10" t="s">
        <v>19</v>
      </c>
      <c r="P40" s="11" t="s">
        <v>237</v>
      </c>
      <c r="Q40" s="6" t="s">
        <v>116</v>
      </c>
      <c r="R40" s="6" t="s">
        <v>122</v>
      </c>
      <c r="S40" s="3" t="s">
        <v>99</v>
      </c>
      <c r="T40" s="3" t="s">
        <v>238</v>
      </c>
      <c r="U40" s="10" t="str">
        <f t="array" ref="U40">IF(P40&lt;&gt;"", A40 &amp; "." &amp; XLOOKUP(P40, Zones!A:A, Zones!J:J, "", -1), "")</f>
        <v>oxidized.homelab.moyer.wtf</v>
      </c>
      <c r="W40" s="10" t="b">
        <f>IF(U40&lt;&gt;"", IF(COUNTIF(Services!$A:$A, U40)&gt;0, TRUE, FALSE), "")</f>
        <v>1</v>
      </c>
      <c r="X40" s="3" t="b">
        <v>1</v>
      </c>
      <c r="Y40" s="3" t="s">
        <v>239</v>
      </c>
      <c r="Z40" s="3" t="s">
        <v>129</v>
      </c>
      <c r="AA40" s="6" t="s">
        <v>106</v>
      </c>
      <c r="AB40" s="3" t="s">
        <v>124</v>
      </c>
      <c r="AC40" s="13"/>
      <c r="AD40" s="5" t="b">
        <v>0</v>
      </c>
      <c r="AE40" s="6" t="s">
        <v>125</v>
      </c>
      <c r="AF40" s="3">
        <v>1.0</v>
      </c>
      <c r="AG40" s="3">
        <v>512.0</v>
      </c>
      <c r="AH40" s="3">
        <v>10.0</v>
      </c>
    </row>
    <row r="41" ht="22.5" customHeight="1">
      <c r="A41" s="3" t="s">
        <v>240</v>
      </c>
      <c r="B41" s="3" t="b">
        <v>1</v>
      </c>
      <c r="C41" s="3" t="b">
        <v>1</v>
      </c>
      <c r="D41" s="3" t="b">
        <v>0</v>
      </c>
      <c r="E41" s="3" t="b">
        <v>1</v>
      </c>
      <c r="F41" s="3" t="b">
        <v>0</v>
      </c>
      <c r="G41" s="3" t="b">
        <v>1</v>
      </c>
      <c r="H41" s="3" t="b">
        <v>0</v>
      </c>
      <c r="I41" s="6" t="s">
        <v>37</v>
      </c>
      <c r="J41" s="10" t="str">
        <f t="array" ref="J41:O41">XLOOKUP(I41, Zones[VLAN Name], Zones!$A$2:$F$9, "", -1)</f>
        <v>192.168.30.0/24</v>
      </c>
      <c r="K41" s="10">
        <v>30.0</v>
      </c>
      <c r="L41" s="10" t="s">
        <v>35</v>
      </c>
      <c r="M41" s="10" t="s">
        <v>17</v>
      </c>
      <c r="N41" s="10" t="s">
        <v>36</v>
      </c>
      <c r="O41" s="10" t="s">
        <v>19</v>
      </c>
      <c r="P41" s="11" t="s">
        <v>241</v>
      </c>
      <c r="Q41" s="6" t="s">
        <v>116</v>
      </c>
      <c r="R41" s="6" t="s">
        <v>122</v>
      </c>
      <c r="S41" s="3" t="s">
        <v>99</v>
      </c>
      <c r="T41" s="3" t="s">
        <v>242</v>
      </c>
      <c r="U41" s="10" t="str">
        <f t="array" ref="U41">IF(P41&lt;&gt;"", A41 &amp; "." &amp; XLOOKUP(P41, Zones!A:A, Zones!J:J, "", -1), "")</f>
        <v>tandoor.homelab.moyer.wtf</v>
      </c>
      <c r="W41" s="10" t="b">
        <f>IF(U41&lt;&gt;"", IF(COUNTIF(Services!$A:$A, U41)&gt;0, TRUE, FALSE), "")</f>
        <v>1</v>
      </c>
      <c r="X41" s="3" t="b">
        <v>1</v>
      </c>
      <c r="Y41" s="3" t="s">
        <v>103</v>
      </c>
      <c r="Z41" s="3" t="s">
        <v>129</v>
      </c>
      <c r="AA41" s="6" t="s">
        <v>100</v>
      </c>
      <c r="AB41" s="3" t="s">
        <v>243</v>
      </c>
      <c r="AC41" s="13"/>
      <c r="AD41" s="5" t="b">
        <v>0</v>
      </c>
      <c r="AE41" s="6" t="s">
        <v>125</v>
      </c>
      <c r="AF41" s="3">
        <v>4.0</v>
      </c>
      <c r="AG41" s="3">
        <v>8192.0</v>
      </c>
      <c r="AH41" s="3">
        <v>30.0</v>
      </c>
    </row>
    <row r="42" ht="22.5" customHeight="1">
      <c r="A42" s="14" t="s">
        <v>244</v>
      </c>
      <c r="B42" s="3" t="b">
        <v>1</v>
      </c>
      <c r="C42" s="3" t="b">
        <v>1</v>
      </c>
      <c r="I42" s="6" t="s">
        <v>58</v>
      </c>
      <c r="J42" s="10" t="str">
        <f t="array" ref="J42:O42">XLOOKUP(I42, Zones[VLAN Name], Zones!$A$2:$F$9, "", -1)</f>
        <v>172.16.10.0/24</v>
      </c>
      <c r="K42" s="10"/>
      <c r="L42" s="10"/>
      <c r="M42" s="10"/>
      <c r="N42" s="10"/>
      <c r="O42" s="10"/>
      <c r="P42" s="11" t="s">
        <v>245</v>
      </c>
      <c r="Q42" s="6" t="s">
        <v>90</v>
      </c>
      <c r="R42" s="6" t="s">
        <v>91</v>
      </c>
      <c r="S42" s="3" t="s">
        <v>246</v>
      </c>
      <c r="U42" s="10" t="str">
        <f t="array" ref="U42">IF(P42&lt;&gt;"", A42 &amp; "." &amp; XLOOKUP(P42, Zones!A:A, Zones!J:J, "", -1), "")</f>
        <v>meer8-2-ceph.ceph.moyer.wtf</v>
      </c>
      <c r="W42" s="10" t="b">
        <f>IF(U42&lt;&gt;"", IF(COUNTIF(Services!$A:$A, U42)&gt;0, TRUE, FALSE), "")</f>
        <v>0</v>
      </c>
      <c r="X42" s="10" t="b">
        <v>0</v>
      </c>
      <c r="AA42" s="17"/>
      <c r="AD42" s="5" t="b">
        <v>1</v>
      </c>
      <c r="AE42" s="6" t="s">
        <v>119</v>
      </c>
    </row>
    <row r="43" ht="22.5" customHeight="1">
      <c r="A43" s="14" t="s">
        <v>247</v>
      </c>
      <c r="B43" s="3" t="b">
        <v>1</v>
      </c>
      <c r="C43" s="3" t="b">
        <v>1</v>
      </c>
      <c r="I43" s="6" t="s">
        <v>58</v>
      </c>
      <c r="J43" s="10" t="str">
        <f t="array" ref="J43:O43">XLOOKUP(I43, Zones[VLAN Name], Zones!$A$2:$F$9, "", -1)</f>
        <v>172.16.10.0/24</v>
      </c>
      <c r="K43" s="10"/>
      <c r="L43" s="10"/>
      <c r="M43" s="10"/>
      <c r="N43" s="10"/>
      <c r="O43" s="10"/>
      <c r="P43" s="11" t="s">
        <v>248</v>
      </c>
      <c r="Q43" s="6" t="s">
        <v>90</v>
      </c>
      <c r="R43" s="6" t="s">
        <v>91</v>
      </c>
      <c r="S43" s="3" t="s">
        <v>246</v>
      </c>
      <c r="U43" s="10" t="str">
        <f t="array" ref="U43">IF(P43&lt;&gt;"", A43 &amp; "." &amp; XLOOKUP(P43, Zones!A:A, Zones!J:J, "", -1), "")</f>
        <v>desktop-0-ceph.ceph.moyer.wtf</v>
      </c>
      <c r="W43" s="10" t="b">
        <f>IF(U43&lt;&gt;"", IF(COUNTIF(Services!$A:$A, U43)&gt;0, TRUE, FALSE), "")</f>
        <v>0</v>
      </c>
      <c r="X43" s="10" t="b">
        <v>0</v>
      </c>
      <c r="AA43" s="17"/>
      <c r="AD43" s="5" t="b">
        <v>1</v>
      </c>
      <c r="AE43" s="6" t="s">
        <v>119</v>
      </c>
    </row>
    <row r="44" ht="22.5" customHeight="1">
      <c r="A44" s="14" t="s">
        <v>249</v>
      </c>
      <c r="B44" s="3" t="b">
        <v>1</v>
      </c>
      <c r="C44" s="3" t="b">
        <v>1</v>
      </c>
      <c r="I44" s="6" t="s">
        <v>58</v>
      </c>
      <c r="J44" s="10" t="str">
        <f t="array" ref="J44:O44">XLOOKUP(I44, Zones[VLAN Name], Zones!$A$2:$F$9, "", -1)</f>
        <v>172.16.10.0/24</v>
      </c>
      <c r="K44" s="10"/>
      <c r="L44" s="10"/>
      <c r="M44" s="10"/>
      <c r="N44" s="10"/>
      <c r="O44" s="10"/>
      <c r="P44" s="11" t="s">
        <v>250</v>
      </c>
      <c r="Q44" s="6" t="s">
        <v>90</v>
      </c>
      <c r="R44" s="6" t="s">
        <v>91</v>
      </c>
      <c r="S44" s="3" t="s">
        <v>246</v>
      </c>
      <c r="U44" s="10" t="str">
        <f t="array" ref="U44">IF(P44&lt;&gt;"", A44 &amp; "." &amp; XLOOKUP(P44, Zones!A:A, Zones!J:J, "", -1), "")</f>
        <v>meer5-0-ceph.ceph.moyer.wtf</v>
      </c>
      <c r="W44" s="10" t="b">
        <f>IF(U44&lt;&gt;"", IF(COUNTIF(Services!$A:$A, U44)&gt;0, TRUE, FALSE), "")</f>
        <v>0</v>
      </c>
      <c r="X44" s="10" t="b">
        <v>0</v>
      </c>
      <c r="AA44" s="17"/>
      <c r="AD44" s="5" t="b">
        <v>1</v>
      </c>
      <c r="AE44" s="6" t="s">
        <v>119</v>
      </c>
    </row>
    <row r="45" ht="22.5" customHeight="1">
      <c r="A45" s="14" t="s">
        <v>251</v>
      </c>
      <c r="B45" s="3" t="b">
        <v>1</v>
      </c>
      <c r="C45" s="3" t="b">
        <v>1</v>
      </c>
      <c r="I45" s="6" t="s">
        <v>58</v>
      </c>
      <c r="J45" s="10" t="str">
        <f t="array" ref="J45:O45">XLOOKUP(I45, Zones[VLAN Name], Zones!$A$2:$F$9, "", -1)</f>
        <v>172.16.10.0/24</v>
      </c>
      <c r="K45" s="10"/>
      <c r="L45" s="10"/>
      <c r="M45" s="10"/>
      <c r="N45" s="10"/>
      <c r="O45" s="10"/>
      <c r="P45" s="11" t="s">
        <v>252</v>
      </c>
      <c r="Q45" s="6" t="s">
        <v>90</v>
      </c>
      <c r="R45" s="6" t="s">
        <v>91</v>
      </c>
      <c r="S45" s="3" t="s">
        <v>246</v>
      </c>
      <c r="U45" s="10" t="str">
        <f t="array" ref="U45">IF(P45&lt;&gt;"", A45 &amp; "." &amp; XLOOKUP(P45, Zones!A:A, Zones!J:J, "", -1), "")</f>
        <v>meer8-0-ceph.ceph.moyer.wtf</v>
      </c>
      <c r="W45" s="10" t="b">
        <f>IF(U45&lt;&gt;"", IF(COUNTIF(Services!$A:$A, U45)&gt;0, TRUE, FALSE), "")</f>
        <v>0</v>
      </c>
      <c r="X45" s="10" t="b">
        <v>0</v>
      </c>
      <c r="AA45" s="17"/>
      <c r="AD45" s="5" t="b">
        <v>1</v>
      </c>
      <c r="AE45" s="6" t="s">
        <v>119</v>
      </c>
    </row>
    <row r="46" ht="22.5" customHeight="1">
      <c r="A46" s="14" t="s">
        <v>253</v>
      </c>
      <c r="B46" s="3" t="b">
        <v>1</v>
      </c>
      <c r="C46" s="3" t="b">
        <v>1</v>
      </c>
      <c r="I46" s="6" t="s">
        <v>58</v>
      </c>
      <c r="J46" s="10" t="str">
        <f t="array" ref="J46:O46">XLOOKUP(I46, Zones[VLAN Name], Zones!$A$2:$F$9, "", -1)</f>
        <v>172.16.10.0/24</v>
      </c>
      <c r="K46" s="10"/>
      <c r="L46" s="10"/>
      <c r="M46" s="10"/>
      <c r="N46" s="10"/>
      <c r="O46" s="10"/>
      <c r="P46" s="11" t="s">
        <v>254</v>
      </c>
      <c r="Q46" s="6" t="s">
        <v>90</v>
      </c>
      <c r="R46" s="6" t="s">
        <v>91</v>
      </c>
      <c r="S46" s="3" t="s">
        <v>246</v>
      </c>
      <c r="U46" s="10" t="str">
        <f t="array" ref="U46">IF(P46&lt;&gt;"", A46 &amp; "." &amp; XLOOKUP(P46, Zones!A:A, Zones!J:J, "", -1), "")</f>
        <v>meer8-1-ceph.ceph.moyer.wtf</v>
      </c>
      <c r="W46" s="10" t="b">
        <f>IF(U46&lt;&gt;"", IF(COUNTIF(Services!$A:$A, U46)&gt;0, TRUE, FALSE), "")</f>
        <v>0</v>
      </c>
      <c r="X46" s="10" t="b">
        <v>0</v>
      </c>
      <c r="AA46" s="17"/>
      <c r="AD46" s="5" t="b">
        <v>1</v>
      </c>
      <c r="AE46" s="6" t="s">
        <v>119</v>
      </c>
    </row>
    <row r="47" ht="22.5" customHeight="1">
      <c r="A47" s="3" t="s">
        <v>255</v>
      </c>
      <c r="I47" s="6" t="s">
        <v>37</v>
      </c>
      <c r="J47" s="10" t="str">
        <f t="array" ref="J47:O47">XLOOKUP(I47, Zones[VLAN Name], Zones!$A$2:$F$9, "", -1)</f>
        <v>192.168.30.0/24</v>
      </c>
      <c r="K47" s="10">
        <v>30.0</v>
      </c>
      <c r="L47" s="10" t="s">
        <v>35</v>
      </c>
      <c r="M47" s="10" t="s">
        <v>17</v>
      </c>
      <c r="N47" s="10" t="s">
        <v>36</v>
      </c>
      <c r="O47" s="10" t="s">
        <v>19</v>
      </c>
      <c r="P47" s="11" t="s">
        <v>256</v>
      </c>
      <c r="Q47" s="6" t="s">
        <v>116</v>
      </c>
      <c r="R47" s="6" t="s">
        <v>117</v>
      </c>
      <c r="S47" s="3" t="s">
        <v>99</v>
      </c>
      <c r="T47" s="3" t="s">
        <v>257</v>
      </c>
      <c r="U47" s="10" t="str">
        <f t="array" ref="U47">IF(P47&lt;&gt;"", A47 &amp; "." &amp; XLOOKUP(P47, Zones!A:A, Zones!J:J, "", -1), "")</f>
        <v>talos-vm-0.homelab.moyer.wtf</v>
      </c>
      <c r="W47" s="10" t="b">
        <f>IF(U47&lt;&gt;"", IF(COUNTIF(Services!$A:$A, U47)&gt;0, TRUE, FALSE), "")</f>
        <v>0</v>
      </c>
      <c r="X47" s="10" t="b">
        <v>0</v>
      </c>
      <c r="AA47" s="17"/>
      <c r="AD47" s="5" t="b">
        <v>1</v>
      </c>
      <c r="AE47" s="6" t="s">
        <v>119</v>
      </c>
    </row>
    <row r="48" ht="22.5" customHeight="1">
      <c r="A48" s="3" t="s">
        <v>258</v>
      </c>
      <c r="I48" s="6" t="s">
        <v>37</v>
      </c>
      <c r="J48" s="10" t="str">
        <f t="array" ref="J48:O48">XLOOKUP(I48, Zones[VLAN Name], Zones!$A$2:$F$9, "", -1)</f>
        <v>192.168.30.0/24</v>
      </c>
      <c r="K48" s="10">
        <v>30.0</v>
      </c>
      <c r="L48" s="10" t="s">
        <v>35</v>
      </c>
      <c r="M48" s="10" t="s">
        <v>17</v>
      </c>
      <c r="N48" s="10" t="s">
        <v>36</v>
      </c>
      <c r="O48" s="10" t="s">
        <v>19</v>
      </c>
      <c r="P48" s="11" t="s">
        <v>259</v>
      </c>
      <c r="Q48" s="6" t="s">
        <v>116</v>
      </c>
      <c r="R48" s="6" t="s">
        <v>117</v>
      </c>
      <c r="S48" s="3" t="s">
        <v>99</v>
      </c>
      <c r="T48" s="3" t="s">
        <v>260</v>
      </c>
      <c r="U48" s="10" t="str">
        <f t="array" ref="U48">IF(P48&lt;&gt;"", A48 &amp; "." &amp; XLOOKUP(P48, Zones!A:A, Zones!J:J, "", -1), "")</f>
        <v>talos-vm-1.homelab.moyer.wtf</v>
      </c>
      <c r="W48" s="10" t="b">
        <f>IF(U48&lt;&gt;"", IF(COUNTIF(Services!$A:$A, U48)&gt;0, TRUE, FALSE), "")</f>
        <v>0</v>
      </c>
      <c r="X48" s="10" t="b">
        <v>0</v>
      </c>
      <c r="AA48" s="17"/>
      <c r="AD48" s="5" t="b">
        <v>1</v>
      </c>
      <c r="AE48" s="6" t="s">
        <v>119</v>
      </c>
    </row>
    <row r="49" ht="22.5" customHeight="1">
      <c r="A49" s="3" t="s">
        <v>261</v>
      </c>
      <c r="I49" s="6" t="s">
        <v>37</v>
      </c>
      <c r="J49" s="10" t="str">
        <f t="array" ref="J49:O49">XLOOKUP(I49, Zones[VLAN Name], Zones!$A$2:$F$9, "", -1)</f>
        <v>192.168.30.0/24</v>
      </c>
      <c r="K49" s="10">
        <v>30.0</v>
      </c>
      <c r="L49" s="10" t="s">
        <v>35</v>
      </c>
      <c r="M49" s="10" t="s">
        <v>17</v>
      </c>
      <c r="N49" s="10" t="s">
        <v>36</v>
      </c>
      <c r="O49" s="10" t="s">
        <v>19</v>
      </c>
      <c r="P49" s="11" t="s">
        <v>262</v>
      </c>
      <c r="Q49" s="6" t="s">
        <v>116</v>
      </c>
      <c r="R49" s="6" t="s">
        <v>117</v>
      </c>
      <c r="S49" s="3" t="s">
        <v>99</v>
      </c>
      <c r="T49" s="3" t="s">
        <v>263</v>
      </c>
      <c r="U49" s="10" t="str">
        <f t="array" ref="U49">IF(P49&lt;&gt;"", A49 &amp; "." &amp; XLOOKUP(P49, Zones!A:A, Zones!J:J, "", -1), "")</f>
        <v>talos-vm-2.homelab.moyer.wtf</v>
      </c>
      <c r="W49" s="10" t="b">
        <f>IF(U49&lt;&gt;"", IF(COUNTIF(Services!$A:$A, U49)&gt;0, TRUE, FALSE), "")</f>
        <v>0</v>
      </c>
      <c r="X49" s="10" t="b">
        <v>0</v>
      </c>
      <c r="AA49" s="17"/>
      <c r="AD49" s="5" t="b">
        <v>1</v>
      </c>
      <c r="AE49" s="6" t="s">
        <v>119</v>
      </c>
    </row>
    <row r="50" ht="22.5" customHeight="1">
      <c r="A50" s="3" t="s">
        <v>264</v>
      </c>
      <c r="I50" s="6" t="s">
        <v>37</v>
      </c>
      <c r="J50" s="10" t="str">
        <f t="array" ref="J50:O50">XLOOKUP(I50, Zones[VLAN Name], Zones!$A$2:$F$9, "", -1)</f>
        <v>192.168.30.0/24</v>
      </c>
      <c r="K50" s="10">
        <v>30.0</v>
      </c>
      <c r="L50" s="10" t="s">
        <v>35</v>
      </c>
      <c r="M50" s="10" t="s">
        <v>17</v>
      </c>
      <c r="N50" s="10" t="s">
        <v>36</v>
      </c>
      <c r="O50" s="10" t="s">
        <v>19</v>
      </c>
      <c r="P50" s="11" t="s">
        <v>265</v>
      </c>
      <c r="Q50" s="6" t="s">
        <v>90</v>
      </c>
      <c r="R50" s="6" t="s">
        <v>133</v>
      </c>
      <c r="S50" s="3" t="s">
        <v>134</v>
      </c>
      <c r="T50" s="3"/>
      <c r="U50" s="10" t="str">
        <f t="array" ref="U50">IF(P50&lt;&gt;"", A50 &amp; "." &amp; XLOOKUP(P50, Zones!A:A, Zones!J:J, "", -1), "")</f>
        <v>talos.homelab.moyer.wtf</v>
      </c>
      <c r="W50" s="10" t="b">
        <f>IF(U50&lt;&gt;"", IF(COUNTIF(Services!$A:$A, U50)&gt;0, TRUE, FALSE), "")</f>
        <v>0</v>
      </c>
      <c r="X50" s="10" t="b">
        <v>0</v>
      </c>
      <c r="AA50" s="17"/>
      <c r="AD50" s="5" t="b">
        <v>1</v>
      </c>
      <c r="AE50" s="6" t="s">
        <v>119</v>
      </c>
    </row>
    <row r="51" ht="22.5" customHeight="1">
      <c r="A51" s="3" t="s">
        <v>266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3" t="b">
        <v>0</v>
      </c>
      <c r="H51" s="3" t="b">
        <v>0</v>
      </c>
      <c r="I51" s="6" t="s">
        <v>267</v>
      </c>
      <c r="J51" s="10" t="str">
        <f t="array" ref="J51:O51">XLOOKUP(I51, Zones[VLAN Name], Zones!$A$2:$F$9, "", -1)</f>
        <v>192.168.100.0/24</v>
      </c>
      <c r="K51" s="10">
        <v>100.0</v>
      </c>
      <c r="L51" s="10" t="s">
        <v>42</v>
      </c>
      <c r="M51" s="10" t="s">
        <v>17</v>
      </c>
      <c r="N51" s="10" t="s">
        <v>43</v>
      </c>
      <c r="O51" s="10" t="s">
        <v>19</v>
      </c>
      <c r="P51" s="11" t="s">
        <v>268</v>
      </c>
      <c r="Q51" s="6" t="s">
        <v>116</v>
      </c>
      <c r="R51" s="6" t="s">
        <v>122</v>
      </c>
      <c r="S51" s="3" t="s">
        <v>99</v>
      </c>
      <c r="T51" s="3" t="s">
        <v>269</v>
      </c>
      <c r="U51" s="10" t="str">
        <f t="array" ref="U51">IF(P51&lt;&gt;"", A51 &amp; "." &amp; XLOOKUP(P51, Zones!A:A, Zones!J:J, "", -1), "")</f>
        <v>apt-cache.homelab.moyer.wtf</v>
      </c>
      <c r="W51" s="10" t="b">
        <f>IF(U51&lt;&gt;"", IF(COUNTIF(Services!$A:$A, U51)&gt;0, TRUE, FALSE), "")</f>
        <v>1</v>
      </c>
      <c r="X51" s="3" t="b">
        <v>1</v>
      </c>
      <c r="Y51" s="3" t="s">
        <v>103</v>
      </c>
      <c r="Z51" s="3" t="s">
        <v>129</v>
      </c>
      <c r="AA51" s="6" t="s">
        <v>112</v>
      </c>
      <c r="AB51" s="3" t="s">
        <v>270</v>
      </c>
      <c r="AD51" s="5" t="b">
        <v>0</v>
      </c>
      <c r="AE51" s="6" t="s">
        <v>125</v>
      </c>
      <c r="AF51" s="3">
        <v>1.0</v>
      </c>
      <c r="AG51" s="3">
        <v>512.0</v>
      </c>
      <c r="AH51" s="3">
        <v>40.0</v>
      </c>
    </row>
  </sheetData>
  <conditionalFormatting sqref="A2:A51 J2:O51 P2:P22 Q2:S51 U2:AH51 P24:P51">
    <cfRule type="expression" dxfId="5" priority="1">
      <formula>#REF!&lt;&gt;""</formula>
    </cfRule>
  </conditionalFormatting>
  <dataValidations>
    <dataValidation type="list" allowBlank="1" sqref="AE2:AE51">
      <formula1>"Proxmox Helper Script,Tailscale Install Script,None"</formula1>
    </dataValidation>
    <dataValidation type="custom" allowBlank="1" showDropDown="1" sqref="A3">
      <formula1>COUNTIF(Nodes!$A:$A,A14)&lt;=1</formula1>
    </dataValidation>
    <dataValidation type="custom" allowBlank="1" showDropDown="1" sqref="A2">
      <formula1>COUNTIF(Nodes!$A:$A,A46)&lt;=1</formula1>
    </dataValidation>
    <dataValidation type="custom" allowBlank="1" showDropDown="1" sqref="A10">
      <formula1>COUNTIF(Nodes!$A:$A,A2)&lt;=1</formula1>
    </dataValidation>
    <dataValidation type="custom" allowBlank="1" showDropDown="1" sqref="A15">
      <formula1>COUNTIF(Nodes!$A:$A,A30)&lt;=1</formula1>
    </dataValidation>
    <dataValidation type="custom" allowBlank="1" showDropDown="1" sqref="A11 A14 A26:A27 A30">
      <formula1>COUNTIF(Nodes!$A:$A,#REF!)&lt;=1</formula1>
    </dataValidation>
    <dataValidation type="list" allowBlank="1" sqref="I2:I51 AA2:AA51">
      <formula1>#REF!</formula1>
    </dataValidation>
    <dataValidation type="custom" allowBlank="1" showDropDown="1" sqref="A42">
      <formula1>COUNTIF(Nodes!$A:$A,A1)&lt;=1</formula1>
    </dataValidation>
    <dataValidation type="custom" allowBlank="1" showDropDown="1" sqref="A4:A9 A12:A13 A16:A17 A19:A25 A28:A29 A32:A41 A43:A51">
      <formula1>COUNTIF(Nodes!$A:$A,A3)&lt;=1</formula1>
    </dataValidation>
    <dataValidation type="list" allowBlank="1" showErrorMessage="1" sqref="R2:R51">
      <formula1>"Physical,VM,LXC,Custom"</formula1>
    </dataValidation>
    <dataValidation type="custom" allowBlank="1" showDropDown="1" sqref="A31">
      <formula1>COUNTIF(Nodes!$A:$A,A24)&lt;=1</formula1>
    </dataValidation>
    <dataValidation type="list" allowBlank="1" showErrorMessage="1" sqref="Q2:Q51">
      <formula1>"Static,DHCP"</formula1>
    </dataValidation>
    <dataValidation type="custom" allowBlank="1" showDropDown="1" sqref="A18">
      <formula1>COUNTIF(Nodes!$A:$A,A9)&lt;=1</formula1>
    </dataValidation>
  </dataValidations>
  <hyperlinks>
    <hyperlink r:id="rId1" ref="Y35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63"/>
    <col customWidth="1" min="2" max="3" width="21.63"/>
    <col customWidth="1" min="4" max="4" width="15.63"/>
    <col customWidth="1" min="5" max="5" width="15.13"/>
    <col customWidth="1" min="6" max="6" width="21.75"/>
    <col customWidth="1" min="7" max="7" width="14.38"/>
    <col customWidth="1" min="8" max="8" width="15.75"/>
    <col customWidth="1" min="9" max="9" width="20.38"/>
    <col customWidth="1" min="10" max="10" width="24.75"/>
    <col customWidth="1" min="11" max="11" width="18.75"/>
    <col customWidth="1" min="13" max="13" width="20.38"/>
    <col customWidth="1" min="14" max="16" width="22.38"/>
  </cols>
  <sheetData>
    <row r="1" ht="22.5" customHeight="1">
      <c r="A1" s="22" t="s">
        <v>60</v>
      </c>
      <c r="B1" s="1" t="s">
        <v>70</v>
      </c>
      <c r="C1" s="1" t="s">
        <v>69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2" t="s">
        <v>9</v>
      </c>
      <c r="J1" s="1" t="s">
        <v>276</v>
      </c>
      <c r="K1" s="1" t="s">
        <v>277</v>
      </c>
      <c r="L1" s="1" t="s">
        <v>278</v>
      </c>
      <c r="M1" s="2" t="s">
        <v>76</v>
      </c>
      <c r="N1" s="1" t="s">
        <v>279</v>
      </c>
      <c r="O1" s="2" t="s">
        <v>280</v>
      </c>
      <c r="P1" s="1" t="s">
        <v>281</v>
      </c>
    </row>
    <row r="2" ht="22.5" customHeight="1">
      <c r="A2" s="6" t="s">
        <v>282</v>
      </c>
      <c r="B2" s="10" t="str">
        <f t="array" ref="B2">XLOOKUP(A2, NodeHostnames, NodeIPs, "")</f>
        <v>192.168.10.1</v>
      </c>
      <c r="C2" s="10" t="str">
        <f t="array" ref="C2">XLOOKUP(B2, Zones!$A$2:$A$9, Zones!$A$2:$A$9, "", -1)</f>
        <v>192.168.10.0/24</v>
      </c>
      <c r="D2" s="3">
        <v>80.0</v>
      </c>
      <c r="E2" s="6" t="s">
        <v>283</v>
      </c>
      <c r="F2" s="3" t="s">
        <v>284</v>
      </c>
      <c r="G2" s="6" t="s">
        <v>165</v>
      </c>
      <c r="H2" s="6" t="s">
        <v>285</v>
      </c>
      <c r="I2" s="6" t="s">
        <v>55</v>
      </c>
      <c r="J2" s="3" t="str">
        <f t="shared" ref="J2:J38" si="1">IF(A2 &lt;&gt; "", LEFT(A2, FIND(".", A2) - 1) &amp; "." &amp; I2, "")</f>
        <v>hexs.priv.moyer.wtf</v>
      </c>
      <c r="K2" s="3">
        <v>443.0</v>
      </c>
      <c r="L2" s="3" t="b">
        <v>0</v>
      </c>
      <c r="M2" s="3"/>
      <c r="N2" s="3" t="b">
        <v>1</v>
      </c>
      <c r="O2" s="3" t="b">
        <v>0</v>
      </c>
    </row>
    <row r="3" ht="22.5" customHeight="1">
      <c r="A3" s="6" t="s">
        <v>286</v>
      </c>
      <c r="B3" s="10" t="str">
        <f t="array" ref="B3">XLOOKUP(A3, NodeHostnames, NodeIPs, "")</f>
        <v>192.168.10.15</v>
      </c>
      <c r="C3" s="10" t="str">
        <f t="array" ref="C3">XLOOKUP(B3, Zones!$A$2:$A$9, Zones!$A$2:$A$9, "", -1)</f>
        <v>192.168.10.0/24</v>
      </c>
      <c r="D3" s="3">
        <v>8006.0</v>
      </c>
      <c r="E3" s="6" t="s">
        <v>283</v>
      </c>
      <c r="F3" s="3" t="s">
        <v>287</v>
      </c>
      <c r="G3" s="6" t="s">
        <v>165</v>
      </c>
      <c r="H3" s="6" t="s">
        <v>285</v>
      </c>
      <c r="I3" s="6" t="s">
        <v>55</v>
      </c>
      <c r="J3" s="3" t="str">
        <f t="shared" si="1"/>
        <v>proxmox.priv.moyer.wtf</v>
      </c>
      <c r="K3" s="3">
        <v>443.0</v>
      </c>
      <c r="L3" s="3" t="b">
        <v>1</v>
      </c>
      <c r="M3" s="3"/>
      <c r="N3" s="3" t="b">
        <v>1</v>
      </c>
      <c r="O3" s="3" t="b">
        <v>1</v>
      </c>
      <c r="P3" s="3" t="s">
        <v>288</v>
      </c>
    </row>
    <row r="4" ht="22.5" customHeight="1">
      <c r="A4" s="6" t="s">
        <v>289</v>
      </c>
      <c r="B4" s="10" t="str">
        <f t="array" ref="B4">XLOOKUP(A4, NodeHostnames, NodeIPs, "")</f>
        <v>192.168.10.2</v>
      </c>
      <c r="C4" s="10" t="str">
        <f t="array" ref="C4">XLOOKUP(B4, Zones!$A$2:$A$9, Zones!$A$2:$A$9, "", -1)</f>
        <v>192.168.10.0/24</v>
      </c>
      <c r="D4" s="3">
        <v>80.0</v>
      </c>
      <c r="E4" s="6" t="s">
        <v>283</v>
      </c>
      <c r="F4" s="3" t="s">
        <v>290</v>
      </c>
      <c r="G4" s="6" t="s">
        <v>165</v>
      </c>
      <c r="H4" s="6" t="s">
        <v>285</v>
      </c>
      <c r="I4" s="6" t="s">
        <v>55</v>
      </c>
      <c r="J4" s="3" t="str">
        <f t="shared" si="1"/>
        <v>crs.priv.moyer.wtf</v>
      </c>
      <c r="K4" s="3">
        <v>443.0</v>
      </c>
      <c r="L4" s="3" t="b">
        <v>0</v>
      </c>
      <c r="M4" s="3"/>
      <c r="N4" s="3" t="b">
        <v>1</v>
      </c>
      <c r="O4" s="3" t="b">
        <v>0</v>
      </c>
    </row>
    <row r="5" ht="22.5" customHeight="1">
      <c r="A5" s="6" t="s">
        <v>291</v>
      </c>
      <c r="B5" s="10" t="str">
        <f t="array" ref="B5">XLOOKUP(A5, NodeHostnames, NodeIPs, "")</f>
        <v>192.168.100.2</v>
      </c>
      <c r="C5" s="10" t="str">
        <f t="array" ref="C5">XLOOKUP(B5, Zones!$A$2:$A$9, Zones!$A$2:$A$9, "", -1)</f>
        <v>192.168.100.0/24</v>
      </c>
      <c r="D5" s="3">
        <v>80.0</v>
      </c>
      <c r="E5" s="6" t="s">
        <v>283</v>
      </c>
      <c r="F5" s="3" t="s">
        <v>292</v>
      </c>
      <c r="G5" s="6" t="s">
        <v>165</v>
      </c>
      <c r="H5" s="6" t="s">
        <v>285</v>
      </c>
      <c r="I5" s="6" t="s">
        <v>55</v>
      </c>
      <c r="J5" s="3" t="str">
        <f t="shared" si="1"/>
        <v>pihole.priv.moyer.wtf</v>
      </c>
      <c r="K5" s="3">
        <v>443.0</v>
      </c>
      <c r="L5" s="3" t="b">
        <v>0</v>
      </c>
      <c r="M5" s="3"/>
      <c r="N5" s="3" t="b">
        <v>1</v>
      </c>
      <c r="O5" s="3" t="b">
        <v>1</v>
      </c>
      <c r="P5" s="3" t="s">
        <v>293</v>
      </c>
    </row>
    <row r="6" ht="22.5" customHeight="1">
      <c r="A6" s="6" t="s">
        <v>294</v>
      </c>
      <c r="B6" s="10" t="str">
        <f t="array" ref="B6">XLOOKUP(A6, NodeHostnames, NodeIPs, "")</f>
        <v>192.168.10.12</v>
      </c>
      <c r="C6" s="10" t="str">
        <f t="array" ref="C6">XLOOKUP(B6, Zones!$A$2:$A$9, Zones!$A$2:$A$9, "", -1)</f>
        <v>192.168.10.0/24</v>
      </c>
      <c r="D6" s="3">
        <v>443.0</v>
      </c>
      <c r="E6" s="6" t="s">
        <v>283</v>
      </c>
      <c r="F6" s="3" t="s">
        <v>295</v>
      </c>
      <c r="G6" s="6" t="s">
        <v>165</v>
      </c>
      <c r="H6" s="6" t="s">
        <v>296</v>
      </c>
      <c r="I6" s="6" t="s">
        <v>19</v>
      </c>
      <c r="J6" s="3" t="str">
        <f t="shared" si="1"/>
        <v>kanidm.moyer.wtf</v>
      </c>
      <c r="K6" s="3">
        <v>443.0</v>
      </c>
      <c r="L6" s="3" t="b">
        <v>1</v>
      </c>
      <c r="M6" s="3"/>
      <c r="N6" s="3" t="b">
        <v>1</v>
      </c>
      <c r="O6" s="3" t="b">
        <v>1</v>
      </c>
      <c r="P6" s="3" t="s">
        <v>297</v>
      </c>
    </row>
    <row r="7" ht="22.5" customHeight="1">
      <c r="A7" s="6" t="s">
        <v>294</v>
      </c>
      <c r="B7" s="10" t="str">
        <f t="array" ref="B7">XLOOKUP(A7, NodeHostnames, NodeIPs, "")</f>
        <v>192.168.10.12</v>
      </c>
      <c r="C7" s="10" t="str">
        <f t="array" ref="C7">XLOOKUP(B7, Zones!$A$2:$A$9, Zones!$A$2:$A$9, "", -1)</f>
        <v>192.168.10.0/24</v>
      </c>
      <c r="D7" s="3">
        <v>636.0</v>
      </c>
      <c r="E7" s="6" t="s">
        <v>283</v>
      </c>
      <c r="F7" s="3" t="s">
        <v>298</v>
      </c>
      <c r="G7" s="6" t="s">
        <v>299</v>
      </c>
      <c r="H7" s="6" t="s">
        <v>300</v>
      </c>
      <c r="I7" s="6" t="s">
        <v>19</v>
      </c>
      <c r="J7" s="3" t="str">
        <f t="shared" si="1"/>
        <v>kanidm.moyer.wtf</v>
      </c>
      <c r="L7" s="3" t="b">
        <v>0</v>
      </c>
      <c r="M7" s="3"/>
      <c r="N7" s="3"/>
      <c r="O7" s="3" t="b">
        <v>0</v>
      </c>
    </row>
    <row r="8" ht="22.5" customHeight="1">
      <c r="A8" s="6" t="s">
        <v>301</v>
      </c>
      <c r="B8" s="10" t="str">
        <f t="array" ref="B8">XLOOKUP(A8, NodeHostnames, NodeIPs, "")</f>
        <v>192.168.10.14</v>
      </c>
      <c r="C8" s="10" t="str">
        <f t="array" ref="C8">XLOOKUP(B8, Zones!$A$2:$A$9, Zones!$A$2:$A$9, "", -1)</f>
        <v>192.168.10.0/24</v>
      </c>
      <c r="D8" s="3">
        <v>25.0</v>
      </c>
      <c r="E8" s="6" t="s">
        <v>283</v>
      </c>
      <c r="F8" s="3" t="s">
        <v>302</v>
      </c>
      <c r="G8" s="6" t="s">
        <v>299</v>
      </c>
      <c r="H8" s="6" t="s">
        <v>300</v>
      </c>
      <c r="I8" s="6" t="s">
        <v>19</v>
      </c>
      <c r="J8" s="3" t="str">
        <f t="shared" si="1"/>
        <v>smtp-relay.moyer.wtf</v>
      </c>
      <c r="L8" s="3" t="b">
        <v>0</v>
      </c>
      <c r="M8" s="3"/>
      <c r="N8" s="3" t="b">
        <v>1</v>
      </c>
      <c r="O8" s="3" t="b">
        <v>0</v>
      </c>
    </row>
    <row r="9" ht="22.5" customHeight="1">
      <c r="A9" s="6" t="s">
        <v>291</v>
      </c>
      <c r="B9" s="10" t="str">
        <f t="array" ref="B9">XLOOKUP(A9, NodeHostnames, NodeIPs, "")</f>
        <v>192.168.100.2</v>
      </c>
      <c r="C9" s="10" t="str">
        <f t="array" ref="C9">XLOOKUP(B9, Zones!$A$2:$A$9, Zones!$A$2:$A$9, "", -1)</f>
        <v>192.168.100.0/24</v>
      </c>
      <c r="D9" s="3">
        <v>53.0</v>
      </c>
      <c r="E9" s="6" t="s">
        <v>303</v>
      </c>
      <c r="F9" s="3" t="s">
        <v>304</v>
      </c>
      <c r="G9" s="6" t="s">
        <v>299</v>
      </c>
      <c r="H9" s="6" t="s">
        <v>285</v>
      </c>
      <c r="I9" s="6" t="s">
        <v>55</v>
      </c>
      <c r="J9" s="3" t="str">
        <f t="shared" si="1"/>
        <v>pihole.priv.moyer.wtf</v>
      </c>
      <c r="M9" s="19"/>
      <c r="N9" s="10"/>
      <c r="O9" s="10" t="b">
        <v>0</v>
      </c>
    </row>
    <row r="10" ht="22.5" customHeight="1">
      <c r="A10" s="23" t="s">
        <v>291</v>
      </c>
      <c r="B10" s="24" t="str">
        <f t="array" ref="B10">XLOOKUP(A10, NodeHostnames, NodeIPs, "")</f>
        <v>192.168.100.2</v>
      </c>
      <c r="C10" s="24" t="str">
        <f t="array" ref="C10">XLOOKUP(B10, Zones!$A$2:$A$9, Zones!$A$2:$A$9, "", -1)</f>
        <v>192.168.100.0/24</v>
      </c>
      <c r="D10" s="25">
        <v>53.0</v>
      </c>
      <c r="E10" s="26" t="s">
        <v>283</v>
      </c>
      <c r="F10" s="27" t="s">
        <v>305</v>
      </c>
      <c r="G10" s="28" t="s">
        <v>299</v>
      </c>
      <c r="H10" s="29" t="s">
        <v>285</v>
      </c>
      <c r="I10" s="29" t="s">
        <v>55</v>
      </c>
      <c r="J10" s="30" t="str">
        <f t="shared" si="1"/>
        <v>pihole.priv.moyer.wtf</v>
      </c>
      <c r="K10" s="25"/>
      <c r="L10" s="31"/>
      <c r="M10" s="32"/>
      <c r="N10" s="31"/>
      <c r="O10" s="33" t="b">
        <v>0</v>
      </c>
      <c r="P10" s="34"/>
    </row>
    <row r="11" ht="22.5" customHeight="1">
      <c r="A11" s="6" t="s">
        <v>306</v>
      </c>
      <c r="B11" s="10" t="str">
        <f t="array" ref="B11">XLOOKUP(A11, NodeHostnames, NodeIPs, "")</f>
        <v>192.168.20.3</v>
      </c>
      <c r="C11" s="10" t="str">
        <f t="array" ref="C11">XLOOKUP(B11, Zones!$A$2:$A$9, Zones!$A$2:$A$9, "", -1)</f>
        <v>192.168.20.0/24</v>
      </c>
      <c r="D11" s="3">
        <v>25565.0</v>
      </c>
      <c r="E11" s="6" t="s">
        <v>283</v>
      </c>
      <c r="F11" s="3" t="s">
        <v>307</v>
      </c>
      <c r="G11" s="6" t="s">
        <v>299</v>
      </c>
      <c r="H11" s="6" t="s">
        <v>296</v>
      </c>
      <c r="I11" s="6" t="s">
        <v>19</v>
      </c>
      <c r="J11" s="3" t="str">
        <f t="shared" si="1"/>
        <v>minecraft.moyer.wtf</v>
      </c>
      <c r="K11" s="3">
        <v>25565.0</v>
      </c>
      <c r="M11" s="3"/>
      <c r="N11" s="3" t="b">
        <v>1</v>
      </c>
      <c r="O11" s="3" t="b">
        <v>0</v>
      </c>
      <c r="P11" s="3" t="s">
        <v>308</v>
      </c>
    </row>
    <row r="12" ht="22.5" customHeight="1">
      <c r="A12" s="6" t="s">
        <v>306</v>
      </c>
      <c r="B12" s="10" t="str">
        <f t="array" ref="B12">XLOOKUP(A12, NodeHostnames, NodeIPs, "")</f>
        <v>192.168.20.3</v>
      </c>
      <c r="C12" s="10" t="str">
        <f t="array" ref="C12">XLOOKUP(B12, Zones!$A$2:$A$9, Zones!$A$2:$A$9, "", -1)</f>
        <v>192.168.20.0/24</v>
      </c>
      <c r="D12" s="3">
        <v>25565.0</v>
      </c>
      <c r="E12" s="6" t="s">
        <v>303</v>
      </c>
      <c r="F12" s="3" t="s">
        <v>309</v>
      </c>
      <c r="G12" s="6" t="s">
        <v>299</v>
      </c>
      <c r="H12" s="6" t="s">
        <v>296</v>
      </c>
      <c r="I12" s="6" t="s">
        <v>19</v>
      </c>
      <c r="J12" s="3" t="str">
        <f t="shared" si="1"/>
        <v>minecraft.moyer.wtf</v>
      </c>
      <c r="K12" s="3">
        <v>25565.0</v>
      </c>
      <c r="M12" s="3"/>
      <c r="N12" s="10"/>
      <c r="O12" s="10" t="b">
        <v>0</v>
      </c>
    </row>
    <row r="13" ht="22.5" customHeight="1">
      <c r="A13" s="6" t="s">
        <v>306</v>
      </c>
      <c r="B13" s="10" t="str">
        <f t="array" ref="B13">XLOOKUP(A13, NodeHostnames, NodeIPs, "")</f>
        <v>192.168.20.3</v>
      </c>
      <c r="C13" s="10" t="str">
        <f t="array" ref="C13">XLOOKUP(B13, Zones!$A$2:$A$9, Zones!$A$2:$A$9, "", -1)</f>
        <v>192.168.20.0/24</v>
      </c>
      <c r="D13" s="3">
        <v>19132.0</v>
      </c>
      <c r="E13" s="6" t="s">
        <v>303</v>
      </c>
      <c r="F13" s="3" t="s">
        <v>310</v>
      </c>
      <c r="G13" s="6" t="s">
        <v>299</v>
      </c>
      <c r="H13" s="6" t="s">
        <v>296</v>
      </c>
      <c r="I13" s="6" t="s">
        <v>19</v>
      </c>
      <c r="J13" s="3" t="str">
        <f t="shared" si="1"/>
        <v>minecraft.moyer.wtf</v>
      </c>
      <c r="K13" s="3">
        <v>19132.0</v>
      </c>
      <c r="M13" s="3"/>
      <c r="N13" s="10"/>
      <c r="O13" s="10" t="b">
        <v>0</v>
      </c>
    </row>
    <row r="14" ht="22.5" customHeight="1">
      <c r="A14" s="6" t="s">
        <v>311</v>
      </c>
      <c r="B14" s="10" t="str">
        <f t="array" ref="B14">XLOOKUP(A14, NodeHostnames, NodeIPs, "")</f>
        <v>192.168.30.2</v>
      </c>
      <c r="C14" s="10" t="str">
        <f t="array" ref="C14">XLOOKUP(B14, Zones!$A$2:$A$9, Zones!$A$2:$A$9, "", -1)</f>
        <v>192.168.30.0/24</v>
      </c>
      <c r="D14" s="3">
        <v>8384.0</v>
      </c>
      <c r="E14" s="6" t="s">
        <v>283</v>
      </c>
      <c r="F14" s="3" t="s">
        <v>312</v>
      </c>
      <c r="G14" s="6" t="s">
        <v>165</v>
      </c>
      <c r="H14" s="6" t="s">
        <v>285</v>
      </c>
      <c r="I14" s="6" t="s">
        <v>55</v>
      </c>
      <c r="J14" s="3" t="str">
        <f t="shared" si="1"/>
        <v>syncthing.priv.moyer.wtf</v>
      </c>
      <c r="K14" s="3">
        <v>443.0</v>
      </c>
      <c r="L14" s="3" t="b">
        <v>0</v>
      </c>
      <c r="M14" s="3"/>
      <c r="N14" s="3" t="b">
        <v>1</v>
      </c>
      <c r="O14" s="3" t="b">
        <v>1</v>
      </c>
      <c r="P14" s="3" t="s">
        <v>313</v>
      </c>
    </row>
    <row r="15" ht="22.5" customHeight="1">
      <c r="A15" s="6" t="s">
        <v>311</v>
      </c>
      <c r="B15" s="10" t="str">
        <f t="array" ref="B15">XLOOKUP(A15, NodeHostnames, NodeIPs, "")</f>
        <v>192.168.30.2</v>
      </c>
      <c r="C15" s="10" t="str">
        <f t="array" ref="C15">XLOOKUP(B15, Zones!$A$2:$A$9, Zones!$A$2:$A$9, "", -1)</f>
        <v>192.168.30.0/24</v>
      </c>
      <c r="D15" s="3">
        <v>22000.0</v>
      </c>
      <c r="E15" s="6" t="s">
        <v>283</v>
      </c>
      <c r="F15" s="3" t="s">
        <v>314</v>
      </c>
      <c r="G15" s="6" t="s">
        <v>299</v>
      </c>
      <c r="H15" s="6" t="s">
        <v>285</v>
      </c>
      <c r="I15" s="6" t="s">
        <v>55</v>
      </c>
      <c r="J15" s="3" t="str">
        <f t="shared" si="1"/>
        <v>syncthing.priv.moyer.wtf</v>
      </c>
      <c r="M15" s="3"/>
      <c r="N15" s="10"/>
      <c r="O15" s="10" t="b">
        <v>0</v>
      </c>
    </row>
    <row r="16" ht="22.5" customHeight="1">
      <c r="A16" s="6" t="s">
        <v>311</v>
      </c>
      <c r="B16" s="10" t="str">
        <f t="array" ref="B16">XLOOKUP(A16, NodeHostnames, NodeIPs, "")</f>
        <v>192.168.30.2</v>
      </c>
      <c r="C16" s="10" t="str">
        <f t="array" ref="C16">XLOOKUP(B16, Zones!$A$2:$A$9, Zones!$A$2:$A$9, "", -1)</f>
        <v>192.168.30.0/24</v>
      </c>
      <c r="D16" s="3">
        <v>22000.0</v>
      </c>
      <c r="E16" s="6" t="s">
        <v>303</v>
      </c>
      <c r="F16" s="3" t="s">
        <v>315</v>
      </c>
      <c r="G16" s="6" t="s">
        <v>299</v>
      </c>
      <c r="H16" s="6" t="s">
        <v>285</v>
      </c>
      <c r="I16" s="6" t="s">
        <v>55</v>
      </c>
      <c r="J16" s="3" t="str">
        <f t="shared" si="1"/>
        <v>syncthing.priv.moyer.wtf</v>
      </c>
      <c r="M16" s="3"/>
      <c r="N16" s="10"/>
      <c r="O16" s="10" t="b">
        <v>0</v>
      </c>
    </row>
    <row r="17" ht="22.5" customHeight="1">
      <c r="A17" s="6" t="s">
        <v>311</v>
      </c>
      <c r="B17" s="10" t="str">
        <f t="array" ref="B17">XLOOKUP(A17, NodeHostnames, NodeIPs, "")</f>
        <v>192.168.30.2</v>
      </c>
      <c r="C17" s="10" t="str">
        <f t="array" ref="C17">XLOOKUP(B17, Zones!$A$2:$A$9, Zones!$A$2:$A$9, "", -1)</f>
        <v>192.168.30.0/24</v>
      </c>
      <c r="D17" s="3">
        <v>21027.0</v>
      </c>
      <c r="E17" s="6" t="s">
        <v>303</v>
      </c>
      <c r="F17" s="3" t="s">
        <v>316</v>
      </c>
      <c r="G17" s="6" t="s">
        <v>299</v>
      </c>
      <c r="H17" s="6" t="s">
        <v>285</v>
      </c>
      <c r="I17" s="6" t="s">
        <v>55</v>
      </c>
      <c r="J17" s="3" t="str">
        <f t="shared" si="1"/>
        <v>syncthing.priv.moyer.wtf</v>
      </c>
      <c r="M17" s="3"/>
      <c r="N17" s="10"/>
      <c r="O17" s="10" t="b">
        <v>0</v>
      </c>
    </row>
    <row r="18" ht="22.5" customHeight="1">
      <c r="A18" s="6" t="s">
        <v>317</v>
      </c>
      <c r="B18" s="10" t="str">
        <f t="array" ref="B18">XLOOKUP(A18, NodeHostnames, NodeIPs, "")</f>
        <v>192.168.30.6</v>
      </c>
      <c r="C18" s="10" t="str">
        <f t="array" ref="C18">XLOOKUP(B18, Zones!$A$2:$A$9, Zones!$A$2:$A$9, "", -1)</f>
        <v>192.168.30.0/24</v>
      </c>
      <c r="D18" s="3">
        <v>8000.0</v>
      </c>
      <c r="E18" s="6" t="s">
        <v>283</v>
      </c>
      <c r="F18" s="3" t="s">
        <v>318</v>
      </c>
      <c r="G18" s="6" t="s">
        <v>165</v>
      </c>
      <c r="H18" s="6" t="s">
        <v>285</v>
      </c>
      <c r="I18" s="6" t="s">
        <v>55</v>
      </c>
      <c r="J18" s="3" t="str">
        <f t="shared" si="1"/>
        <v>vaultwarden.priv.moyer.wtf</v>
      </c>
      <c r="K18" s="3">
        <v>443.0</v>
      </c>
      <c r="L18" s="3" t="b">
        <v>1</v>
      </c>
      <c r="M18" s="3"/>
      <c r="N18" s="3" t="b">
        <v>1</v>
      </c>
      <c r="O18" s="3" t="b">
        <v>1</v>
      </c>
      <c r="P18" s="3" t="s">
        <v>319</v>
      </c>
    </row>
    <row r="19" ht="22.5" customHeight="1">
      <c r="A19" s="6" t="s">
        <v>320</v>
      </c>
      <c r="B19" s="10" t="str">
        <f t="array" ref="B19">XLOOKUP(A19, NodeHostnames, NodeIPs, "")</f>
        <v>192.168.30.7</v>
      </c>
      <c r="C19" s="10" t="str">
        <f t="array" ref="C19">XLOOKUP(B19, Zones!$A$2:$A$9, Zones!$A$2:$A$9, "", -1)</f>
        <v>192.168.30.0/24</v>
      </c>
      <c r="D19" s="3">
        <v>7575.0</v>
      </c>
      <c r="E19" s="6" t="s">
        <v>283</v>
      </c>
      <c r="F19" s="3" t="s">
        <v>321</v>
      </c>
      <c r="G19" s="6" t="s">
        <v>165</v>
      </c>
      <c r="H19" s="6" t="s">
        <v>285</v>
      </c>
      <c r="I19" s="6" t="s">
        <v>55</v>
      </c>
      <c r="J19" s="3" t="str">
        <f t="shared" si="1"/>
        <v>homarr.priv.moyer.wtf</v>
      </c>
      <c r="K19" s="3">
        <v>443.0</v>
      </c>
      <c r="L19" s="3" t="b">
        <v>0</v>
      </c>
      <c r="M19" s="3"/>
      <c r="N19" s="3" t="b">
        <v>1</v>
      </c>
      <c r="O19" s="3" t="b">
        <v>1</v>
      </c>
      <c r="P19" s="3" t="s">
        <v>322</v>
      </c>
    </row>
    <row r="20" ht="22.5" customHeight="1">
      <c r="A20" s="6" t="s">
        <v>323</v>
      </c>
      <c r="B20" s="10" t="str">
        <f t="array" ref="B20">XLOOKUP(A20, NodeHostnames, NodeIPs, "")</f>
        <v>192.168.10.11</v>
      </c>
      <c r="C20" s="10" t="str">
        <f t="array" ref="C20">XLOOKUP(B20, Zones!$A$2:$A$9, Zones!$A$2:$A$9, "", -1)</f>
        <v>192.168.10.0/24</v>
      </c>
      <c r="D20" s="3">
        <v>8007.0</v>
      </c>
      <c r="E20" s="6" t="s">
        <v>283</v>
      </c>
      <c r="F20" s="3" t="s">
        <v>324</v>
      </c>
      <c r="G20" s="6" t="s">
        <v>165</v>
      </c>
      <c r="H20" s="6" t="s">
        <v>285</v>
      </c>
      <c r="I20" s="6" t="s">
        <v>55</v>
      </c>
      <c r="J20" s="3" t="str">
        <f t="shared" si="1"/>
        <v>pbs.priv.moyer.wtf</v>
      </c>
      <c r="K20" s="3">
        <v>443.0</v>
      </c>
      <c r="L20" s="3" t="b">
        <v>1</v>
      </c>
      <c r="M20" s="3"/>
      <c r="N20" s="3" t="b">
        <v>1</v>
      </c>
      <c r="O20" s="3" t="b">
        <v>1</v>
      </c>
      <c r="P20" s="3" t="s">
        <v>325</v>
      </c>
    </row>
    <row r="21" ht="22.5" customHeight="1">
      <c r="A21" s="6" t="s">
        <v>326</v>
      </c>
      <c r="B21" s="10" t="str">
        <f t="array" ref="B21">XLOOKUP(A21, NodeHostnames, NodeIPs, "")</f>
        <v>192.168.30.9</v>
      </c>
      <c r="C21" s="10" t="str">
        <f t="array" ref="C21">XLOOKUP(B21, Zones!$A$2:$A$9, Zones!$A$2:$A$9, "", -1)</f>
        <v>192.168.30.0/24</v>
      </c>
      <c r="D21" s="3">
        <v>8096.0</v>
      </c>
      <c r="E21" s="6" t="s">
        <v>283</v>
      </c>
      <c r="F21" s="3" t="s">
        <v>327</v>
      </c>
      <c r="G21" s="6" t="s">
        <v>165</v>
      </c>
      <c r="H21" s="6" t="s">
        <v>296</v>
      </c>
      <c r="I21" s="6" t="s">
        <v>19</v>
      </c>
      <c r="J21" s="3" t="str">
        <f t="shared" si="1"/>
        <v>jellyfin.moyer.wtf</v>
      </c>
      <c r="K21" s="3">
        <v>443.0</v>
      </c>
      <c r="L21" s="3" t="b">
        <v>0</v>
      </c>
      <c r="M21" s="3"/>
      <c r="N21" s="3" t="b">
        <v>1</v>
      </c>
      <c r="O21" s="3" t="b">
        <v>1</v>
      </c>
      <c r="P21" s="3" t="s">
        <v>328</v>
      </c>
    </row>
    <row r="22" ht="22.5" customHeight="1">
      <c r="A22" s="6" t="s">
        <v>329</v>
      </c>
      <c r="B22" s="10" t="str">
        <f t="array" ref="B22">XLOOKUP(A22, NodeHostnames, NodeIPs, "")</f>
        <v>192.168.30.10</v>
      </c>
      <c r="C22" s="10" t="str">
        <f t="array" ref="C22">XLOOKUP(B22, Zones!$A$2:$A$9, Zones!$A$2:$A$9, "", -1)</f>
        <v>192.168.30.0/24</v>
      </c>
      <c r="D22" s="3">
        <v>8080.0</v>
      </c>
      <c r="E22" s="6" t="s">
        <v>283</v>
      </c>
      <c r="F22" s="3" t="s">
        <v>330</v>
      </c>
      <c r="G22" s="6" t="s">
        <v>165</v>
      </c>
      <c r="H22" s="6" t="s">
        <v>296</v>
      </c>
      <c r="I22" s="6" t="s">
        <v>19</v>
      </c>
      <c r="J22" s="3" t="str">
        <f t="shared" si="1"/>
        <v>openwebui.moyer.wtf</v>
      </c>
      <c r="K22" s="3">
        <v>443.0</v>
      </c>
      <c r="L22" s="3" t="b">
        <v>0</v>
      </c>
      <c r="M22" s="3"/>
      <c r="N22" s="3" t="b">
        <v>1</v>
      </c>
      <c r="O22" s="3" t="b">
        <v>1</v>
      </c>
      <c r="P22" s="3" t="s">
        <v>331</v>
      </c>
    </row>
    <row r="23" ht="22.5" customHeight="1">
      <c r="A23" s="6" t="s">
        <v>332</v>
      </c>
      <c r="B23" s="10" t="str">
        <f t="array" ref="B23">XLOOKUP(A23, NodeHostnames, NodeIPs, "")</f>
        <v>192.168.30.11</v>
      </c>
      <c r="C23" s="10" t="str">
        <f t="array" ref="C23">XLOOKUP(B23, Zones!$A$2:$A$9, Zones!$A$2:$A$9, "", -1)</f>
        <v>192.168.30.0/24</v>
      </c>
      <c r="D23" s="3">
        <v>11434.0</v>
      </c>
      <c r="E23" s="6" t="s">
        <v>283</v>
      </c>
      <c r="F23" s="3" t="s">
        <v>333</v>
      </c>
      <c r="G23" s="6" t="s">
        <v>299</v>
      </c>
      <c r="H23" s="6" t="s">
        <v>300</v>
      </c>
      <c r="I23" s="6" t="s">
        <v>19</v>
      </c>
      <c r="J23" s="3" t="str">
        <f t="shared" si="1"/>
        <v>ollama.moyer.wtf</v>
      </c>
      <c r="M23" s="3"/>
      <c r="N23" s="3" t="b">
        <v>1</v>
      </c>
      <c r="O23" s="3" t="b">
        <v>0</v>
      </c>
    </row>
    <row r="24" ht="22.5" customHeight="1">
      <c r="A24" s="6" t="s">
        <v>334</v>
      </c>
      <c r="B24" s="10" t="str">
        <f t="array" ref="B24">XLOOKUP(A24, NodeHostnames, NodeIPs, "")</f>
        <v>192.168.30.5</v>
      </c>
      <c r="C24" s="10" t="str">
        <f t="array" ref="C24">XLOOKUP(B24, Zones!$A$2:$A$9, Zones!$A$2:$A$9, "", -1)</f>
        <v>192.168.30.0/24</v>
      </c>
      <c r="D24" s="3">
        <v>8000.0</v>
      </c>
      <c r="E24" s="6" t="s">
        <v>283</v>
      </c>
      <c r="F24" s="3" t="s">
        <v>335</v>
      </c>
      <c r="G24" s="6" t="s">
        <v>165</v>
      </c>
      <c r="H24" s="6" t="s">
        <v>285</v>
      </c>
      <c r="I24" s="6" t="s">
        <v>55</v>
      </c>
      <c r="J24" s="3" t="str">
        <f t="shared" si="1"/>
        <v>services.priv.moyer.wtf</v>
      </c>
      <c r="K24" s="3">
        <v>443.0</v>
      </c>
      <c r="L24" s="3" t="b">
        <v>0</v>
      </c>
      <c r="M24" s="3"/>
      <c r="N24" s="3" t="b">
        <v>1</v>
      </c>
      <c r="O24" s="3" t="b">
        <v>0</v>
      </c>
    </row>
    <row r="25" ht="22.5" customHeight="1">
      <c r="A25" s="6" t="s">
        <v>336</v>
      </c>
      <c r="B25" s="10" t="str">
        <f t="array" ref="B25">XLOOKUP(A25, NodeHostnames, NodeIPs, "")</f>
        <v>192.168.30.16</v>
      </c>
      <c r="C25" s="10" t="str">
        <f t="array" ref="C25">XLOOKUP(B25, Zones!$A$2:$A$9, Zones!$A$2:$A$9, "", -1)</f>
        <v>192.168.30.0/24</v>
      </c>
      <c r="D25" s="3">
        <v>80.0</v>
      </c>
      <c r="E25" s="6" t="s">
        <v>283</v>
      </c>
      <c r="F25" s="3" t="s">
        <v>337</v>
      </c>
      <c r="G25" s="6" t="s">
        <v>165</v>
      </c>
      <c r="H25" s="6" t="s">
        <v>285</v>
      </c>
      <c r="I25" s="6" t="s">
        <v>55</v>
      </c>
      <c r="J25" s="3" t="str">
        <f t="shared" si="1"/>
        <v>freshrss.priv.moyer.wtf</v>
      </c>
      <c r="K25" s="3">
        <v>443.0</v>
      </c>
      <c r="L25" s="3" t="b">
        <v>0</v>
      </c>
      <c r="M25" s="3"/>
      <c r="N25" s="3" t="b">
        <v>1</v>
      </c>
      <c r="O25" s="3" t="b">
        <v>1</v>
      </c>
      <c r="P25" s="3" t="s">
        <v>338</v>
      </c>
    </row>
    <row r="26" ht="22.5" customHeight="1">
      <c r="A26" s="6" t="s">
        <v>339</v>
      </c>
      <c r="B26" s="10" t="str">
        <f t="array" ref="B26">XLOOKUP(A26, NodeHostnames, NodeIPs, "")</f>
        <v>192.168.30.15</v>
      </c>
      <c r="C26" s="10" t="str">
        <f t="array" ref="C26">XLOOKUP(B26, Zones!$A$2:$A$9, Zones!$A$2:$A$9, "", -1)</f>
        <v>192.168.30.0/24</v>
      </c>
      <c r="D26" s="3">
        <v>80.0</v>
      </c>
      <c r="E26" s="6" t="s">
        <v>283</v>
      </c>
      <c r="F26" s="3" t="s">
        <v>340</v>
      </c>
      <c r="G26" s="6" t="s">
        <v>165</v>
      </c>
      <c r="H26" s="6" t="s">
        <v>296</v>
      </c>
      <c r="I26" s="6" t="s">
        <v>19</v>
      </c>
      <c r="J26" s="3" t="str">
        <f t="shared" si="1"/>
        <v>firefly-iii.moyer.wtf</v>
      </c>
      <c r="K26" s="3">
        <v>443.0</v>
      </c>
      <c r="L26" s="3" t="b">
        <v>0</v>
      </c>
      <c r="M26" s="3"/>
      <c r="N26" s="3" t="b">
        <v>1</v>
      </c>
      <c r="O26" s="3" t="b">
        <v>1</v>
      </c>
      <c r="P26" s="3" t="s">
        <v>341</v>
      </c>
    </row>
    <row r="27" ht="22.5" customHeight="1">
      <c r="A27" s="6" t="s">
        <v>342</v>
      </c>
      <c r="B27" s="10" t="str">
        <f t="array" ref="B27">XLOOKUP(A27, NodeHostnames, NodeIPs, "")</f>
        <v>192.168.30.12</v>
      </c>
      <c r="C27" s="10" t="str">
        <f t="array" ref="C27">XLOOKUP(B27, Zones!$A$2:$A$9, Zones!$A$2:$A$9, "", -1)</f>
        <v>192.168.30.0/24</v>
      </c>
      <c r="D27" s="3">
        <v>3000.0</v>
      </c>
      <c r="E27" s="6" t="s">
        <v>283</v>
      </c>
      <c r="F27" s="3" t="s">
        <v>343</v>
      </c>
      <c r="G27" s="6" t="s">
        <v>165</v>
      </c>
      <c r="H27" s="6" t="s">
        <v>285</v>
      </c>
      <c r="I27" s="6" t="s">
        <v>55</v>
      </c>
      <c r="J27" s="3" t="str">
        <f t="shared" si="1"/>
        <v>gitea.priv.moyer.wtf</v>
      </c>
      <c r="K27" s="3">
        <v>443.0</v>
      </c>
      <c r="L27" s="3" t="b">
        <v>0</v>
      </c>
      <c r="M27" s="3"/>
      <c r="N27" s="3" t="b">
        <v>1</v>
      </c>
      <c r="O27" s="3" t="b">
        <v>1</v>
      </c>
      <c r="P27" s="3" t="s">
        <v>344</v>
      </c>
    </row>
    <row r="28" ht="22.5" customHeight="1">
      <c r="A28" s="6" t="s">
        <v>345</v>
      </c>
      <c r="B28" s="10" t="str">
        <f t="array" ref="B28">XLOOKUP(A28, NodeHostnames, NodeIPs, "")</f>
        <v>192.168.30.13</v>
      </c>
      <c r="C28" s="10" t="str">
        <f t="array" ref="C28">XLOOKUP(B28, Zones!$A$2:$A$9, Zones!$A$2:$A$9, "", -1)</f>
        <v>192.168.30.0/24</v>
      </c>
      <c r="E28" s="6" t="s">
        <v>283</v>
      </c>
      <c r="F28" s="3" t="s">
        <v>346</v>
      </c>
      <c r="G28" s="6" t="s">
        <v>299</v>
      </c>
      <c r="H28" s="6" t="s">
        <v>300</v>
      </c>
      <c r="I28" s="6" t="s">
        <v>19</v>
      </c>
      <c r="J28" s="3" t="str">
        <f t="shared" si="1"/>
        <v>gitea-runner.moyer.wtf</v>
      </c>
      <c r="M28" s="3"/>
      <c r="N28" s="3" t="b">
        <v>1</v>
      </c>
      <c r="O28" s="10" t="b">
        <v>0</v>
      </c>
    </row>
    <row r="29" ht="22.5" customHeight="1">
      <c r="A29" s="6" t="s">
        <v>347</v>
      </c>
      <c r="B29" s="10" t="str">
        <f t="array" ref="B29">XLOOKUP(A29, NodeHostnames, NodeIPs, "")</f>
        <v>192.168.10.16</v>
      </c>
      <c r="C29" s="10" t="str">
        <f t="array" ref="C29">XLOOKUP(B29, Zones!$A$2:$A$9, Zones!$A$2:$A$9, "", -1)</f>
        <v>192.168.10.0/24</v>
      </c>
      <c r="D29" s="3">
        <v>3001.0</v>
      </c>
      <c r="E29" s="6" t="s">
        <v>283</v>
      </c>
      <c r="F29" s="3" t="s">
        <v>348</v>
      </c>
      <c r="G29" s="6" t="s">
        <v>165</v>
      </c>
      <c r="H29" s="6" t="s">
        <v>285</v>
      </c>
      <c r="I29" s="6" t="s">
        <v>55</v>
      </c>
      <c r="J29" s="3" t="str">
        <f t="shared" si="1"/>
        <v>uptime-kuma.priv.moyer.wtf</v>
      </c>
      <c r="K29" s="3">
        <v>443.0</v>
      </c>
      <c r="L29" s="3" t="b">
        <v>0</v>
      </c>
      <c r="M29" s="3"/>
      <c r="N29" s="3" t="b">
        <v>1</v>
      </c>
      <c r="O29" s="3" t="b">
        <v>1</v>
      </c>
      <c r="P29" s="3" t="s">
        <v>349</v>
      </c>
    </row>
    <row r="30" ht="22.5" customHeight="1">
      <c r="A30" s="6" t="s">
        <v>342</v>
      </c>
      <c r="B30" s="10" t="str">
        <f t="array" ref="B30">XLOOKUP(A30, NodeHostnames, NodeIPs, "")</f>
        <v>192.168.30.12</v>
      </c>
      <c r="C30" s="10" t="str">
        <f t="array" ref="C30">XLOOKUP(B30, Zones!$A$2:$A$9, Zones!$A$2:$A$9, "", -1)</f>
        <v>192.168.30.0/24</v>
      </c>
      <c r="D30" s="3">
        <v>22.0</v>
      </c>
      <c r="E30" s="6" t="s">
        <v>283</v>
      </c>
      <c r="F30" s="3" t="s">
        <v>350</v>
      </c>
      <c r="G30" s="6" t="s">
        <v>299</v>
      </c>
      <c r="H30" s="6" t="s">
        <v>285</v>
      </c>
      <c r="I30" s="6" t="s">
        <v>55</v>
      </c>
      <c r="J30" s="3" t="str">
        <f t="shared" si="1"/>
        <v>gitea.priv.moyer.wtf</v>
      </c>
      <c r="K30" s="3"/>
      <c r="L30" s="3"/>
      <c r="M30" s="3" t="s">
        <v>351</v>
      </c>
      <c r="N30" s="3" t="b">
        <v>0</v>
      </c>
      <c r="O30" s="3" t="b">
        <v>0</v>
      </c>
      <c r="P30" s="3"/>
    </row>
    <row r="31" ht="22.5" customHeight="1">
      <c r="A31" s="6" t="s">
        <v>352</v>
      </c>
      <c r="B31" s="10" t="str">
        <f t="array" ref="B31">XLOOKUP(A31, NodeHostnames, NodeIPs, "")</f>
        <v>192.168.30.17</v>
      </c>
      <c r="C31" s="10" t="str">
        <f t="array" ref="C31">XLOOKUP(B31, Zones!$A$2:$A$9, Zones!$A$2:$A$9, "", -1)</f>
        <v>192.168.30.0/24</v>
      </c>
      <c r="D31" s="3">
        <v>8080.0</v>
      </c>
      <c r="E31" s="6" t="s">
        <v>283</v>
      </c>
      <c r="F31" s="3" t="s">
        <v>353</v>
      </c>
      <c r="G31" s="6" t="s">
        <v>165</v>
      </c>
      <c r="H31" s="6" t="s">
        <v>296</v>
      </c>
      <c r="I31" s="6" t="s">
        <v>19</v>
      </c>
      <c r="J31" s="3" t="str">
        <f t="shared" si="1"/>
        <v>guac.moyer.wtf</v>
      </c>
      <c r="K31" s="3">
        <v>443.0</v>
      </c>
      <c r="L31" s="3" t="b">
        <v>0</v>
      </c>
      <c r="M31" s="3"/>
      <c r="N31" s="3" t="b">
        <v>1</v>
      </c>
      <c r="O31" s="3" t="b">
        <v>1</v>
      </c>
      <c r="P31" s="3" t="s">
        <v>354</v>
      </c>
    </row>
    <row r="32" ht="22.5" customHeight="1">
      <c r="A32" s="6" t="s">
        <v>355</v>
      </c>
      <c r="B32" s="10" t="str">
        <f t="array" ref="B32">XLOOKUP(A32, NodeHostnames, NodeIPs, "")</f>
        <v>192.168.30.18</v>
      </c>
      <c r="C32" s="10" t="str">
        <f t="array" ref="C32">XLOOKUP(B32, Zones!$A$2:$A$9, Zones!$A$2:$A$9, "", -1)</f>
        <v>192.168.30.0/24</v>
      </c>
      <c r="D32" s="3">
        <v>3389.0</v>
      </c>
      <c r="E32" s="6" t="s">
        <v>283</v>
      </c>
      <c r="F32" s="3" t="s">
        <v>356</v>
      </c>
      <c r="G32" s="6" t="s">
        <v>299</v>
      </c>
      <c r="H32" s="6" t="s">
        <v>300</v>
      </c>
      <c r="I32" s="6" t="s">
        <v>55</v>
      </c>
      <c r="J32" s="3" t="str">
        <f t="shared" si="1"/>
        <v>paperclip.priv.moyer.wtf</v>
      </c>
      <c r="K32" s="3">
        <v>443.0</v>
      </c>
      <c r="L32" s="3" t="b">
        <v>0</v>
      </c>
      <c r="M32" s="3"/>
      <c r="N32" s="3" t="b">
        <v>1</v>
      </c>
      <c r="O32" s="3" t="b">
        <v>0</v>
      </c>
      <c r="P32" s="3"/>
    </row>
    <row r="33" ht="22.5" customHeight="1">
      <c r="A33" s="6" t="s">
        <v>357</v>
      </c>
      <c r="B33" s="10" t="str">
        <f t="array" ref="B33">XLOOKUP(A33, NodeHostnames, NodeIPs, "")</f>
        <v>192.168.30.19</v>
      </c>
      <c r="C33" s="10" t="str">
        <f t="array" ref="C33">XLOOKUP(B33, Zones!$A$2:$A$9, Zones!$A$2:$A$9, "", -1)</f>
        <v>192.168.30.0/24</v>
      </c>
      <c r="D33" s="3">
        <v>8888.0</v>
      </c>
      <c r="E33" s="6" t="s">
        <v>283</v>
      </c>
      <c r="F33" s="3" t="s">
        <v>358</v>
      </c>
      <c r="G33" s="6" t="s">
        <v>165</v>
      </c>
      <c r="H33" s="6" t="s">
        <v>285</v>
      </c>
      <c r="I33" s="6" t="s">
        <v>55</v>
      </c>
      <c r="J33" s="3" t="str">
        <f t="shared" si="1"/>
        <v>oxidized.priv.moyer.wtf</v>
      </c>
      <c r="K33" s="3">
        <v>443.0</v>
      </c>
      <c r="L33" s="3" t="b">
        <v>0</v>
      </c>
      <c r="M33" s="3"/>
      <c r="N33" s="3" t="b">
        <v>1</v>
      </c>
      <c r="O33" s="3" t="b">
        <v>0</v>
      </c>
    </row>
    <row r="34" ht="22.5" customHeight="1">
      <c r="A34" s="35" t="s">
        <v>359</v>
      </c>
      <c r="B34" s="10" t="str">
        <f t="array" ref="B34">XLOOKUP(A34, NodeHostnames, NodeIPs, "")</f>
        <v>192.168.30.14</v>
      </c>
      <c r="C34" s="10" t="str">
        <f t="array" ref="C34">XLOOKUP(B34, Zones!$A$2:$A$9, Zones!$A$2:$A$9, "", -1)</f>
        <v>192.168.30.0/24</v>
      </c>
      <c r="D34" s="3">
        <v>8080.0</v>
      </c>
      <c r="E34" s="6" t="s">
        <v>283</v>
      </c>
      <c r="F34" s="3" t="s">
        <v>360</v>
      </c>
      <c r="G34" s="6" t="s">
        <v>165</v>
      </c>
      <c r="H34" s="6" t="s">
        <v>296</v>
      </c>
      <c r="I34" s="36" t="s">
        <v>54</v>
      </c>
      <c r="J34" s="37" t="str">
        <f t="shared" si="1"/>
        <v>www.thomasmoyer.org</v>
      </c>
      <c r="K34" s="3">
        <v>443.0</v>
      </c>
      <c r="L34" s="3" t="b">
        <v>0</v>
      </c>
      <c r="M34" s="21" t="s">
        <v>54</v>
      </c>
      <c r="N34" s="3" t="b">
        <v>1</v>
      </c>
      <c r="O34" s="3" t="b">
        <v>1</v>
      </c>
      <c r="P34" s="3" t="s">
        <v>322</v>
      </c>
    </row>
    <row r="35" ht="22.5" customHeight="1">
      <c r="A35" s="18" t="s">
        <v>361</v>
      </c>
      <c r="B35" s="10" t="str">
        <f t="array" ref="B35">XLOOKUP(A35, NodeHostnames, NodeIPs, "")</f>
        <v>192.168.10.5</v>
      </c>
      <c r="C35" s="10" t="str">
        <f t="array" ref="C35">XLOOKUP(B35, Zones!$A$2:$A$9, Zones!$A$2:$A$9, "", -1)</f>
        <v>192.168.10.0/24</v>
      </c>
      <c r="D35" s="3">
        <v>9090.0</v>
      </c>
      <c r="E35" s="6" t="s">
        <v>283</v>
      </c>
      <c r="F35" s="3" t="s">
        <v>362</v>
      </c>
      <c r="G35" s="6" t="s">
        <v>165</v>
      </c>
      <c r="H35" s="6" t="s">
        <v>285</v>
      </c>
      <c r="I35" s="18" t="s">
        <v>55</v>
      </c>
      <c r="J35" s="3" t="str">
        <f t="shared" si="1"/>
        <v>prometheus.priv.moyer.wtf</v>
      </c>
      <c r="K35" s="3">
        <v>443.0</v>
      </c>
      <c r="L35" s="3" t="b">
        <v>0</v>
      </c>
      <c r="M35" s="19"/>
      <c r="N35" s="3" t="b">
        <v>1</v>
      </c>
      <c r="O35" s="3" t="b">
        <v>0</v>
      </c>
    </row>
    <row r="36" ht="22.5" customHeight="1">
      <c r="A36" s="18" t="s">
        <v>363</v>
      </c>
      <c r="B36" s="10" t="str">
        <f t="array" ref="B36">XLOOKUP(A36, NodeHostnames, NodeIPs, "")</f>
        <v>192.168.10.13</v>
      </c>
      <c r="C36" s="10" t="str">
        <f t="array" ref="C36">XLOOKUP(B36, Zones!$A$2:$A$9, Zones!$A$2:$A$9, "", -1)</f>
        <v>192.168.10.0/24</v>
      </c>
      <c r="D36" s="3">
        <v>3000.0</v>
      </c>
      <c r="E36" s="6" t="s">
        <v>283</v>
      </c>
      <c r="F36" s="3" t="s">
        <v>65</v>
      </c>
      <c r="G36" s="6" t="s">
        <v>165</v>
      </c>
      <c r="H36" s="6" t="s">
        <v>285</v>
      </c>
      <c r="I36" s="18" t="s">
        <v>55</v>
      </c>
      <c r="J36" s="3" t="str">
        <f t="shared" si="1"/>
        <v>grafana.priv.moyer.wtf</v>
      </c>
      <c r="K36" s="3">
        <v>443.0</v>
      </c>
      <c r="L36" s="3" t="b">
        <v>0</v>
      </c>
      <c r="M36" s="19"/>
      <c r="N36" s="3" t="b">
        <v>1</v>
      </c>
      <c r="O36" s="3" t="b">
        <v>1</v>
      </c>
      <c r="P36" s="3" t="s">
        <v>364</v>
      </c>
    </row>
    <row r="37" ht="22.5" customHeight="1">
      <c r="A37" s="18" t="s">
        <v>365</v>
      </c>
      <c r="B37" s="10" t="str">
        <f t="array" ref="B37">XLOOKUP(A37, NodeHostnames, NodeIPs, "")</f>
        <v>192.168.30.4</v>
      </c>
      <c r="C37" s="10" t="str">
        <f t="array" ref="C37">XLOOKUP(B37, Zones!$A$2:$A$9, Zones!$A$2:$A$9, "", -1)</f>
        <v>192.168.30.0/24</v>
      </c>
      <c r="D37" s="3">
        <v>8002.0</v>
      </c>
      <c r="E37" s="6" t="s">
        <v>283</v>
      </c>
      <c r="F37" s="3" t="s">
        <v>366</v>
      </c>
      <c r="G37" s="6" t="s">
        <v>165</v>
      </c>
      <c r="H37" s="6" t="s">
        <v>296</v>
      </c>
      <c r="I37" s="18" t="s">
        <v>19</v>
      </c>
      <c r="J37" s="3" t="str">
        <f t="shared" si="1"/>
        <v>tandoor.moyer.wtf</v>
      </c>
      <c r="K37" s="3">
        <v>443.0</v>
      </c>
      <c r="L37" s="3" t="b">
        <v>0</v>
      </c>
      <c r="M37" s="19"/>
      <c r="N37" s="3" t="b">
        <v>1</v>
      </c>
      <c r="O37" s="3" t="b">
        <v>1</v>
      </c>
      <c r="P37" s="3" t="s">
        <v>367</v>
      </c>
    </row>
    <row r="38" ht="22.5" customHeight="1">
      <c r="A38" s="18" t="s">
        <v>368</v>
      </c>
      <c r="B38" s="10" t="str">
        <f t="array" ref="B38">XLOOKUP(A38, NodeHostnames, NodeIPs, "")</f>
        <v>192.168.30.22</v>
      </c>
      <c r="C38" s="10" t="str">
        <f t="array" ref="C38">XLOOKUP(B38, Zones!$A$2:$A$9, Zones!$A$2:$A$9, "", -1)</f>
        <v>192.168.30.0/24</v>
      </c>
      <c r="D38" s="3">
        <v>3142.0</v>
      </c>
      <c r="E38" s="6" t="s">
        <v>283</v>
      </c>
      <c r="F38" s="3" t="s">
        <v>369</v>
      </c>
      <c r="G38" s="6" t="s">
        <v>299</v>
      </c>
      <c r="H38" s="6" t="s">
        <v>285</v>
      </c>
      <c r="I38" s="18" t="s">
        <v>19</v>
      </c>
      <c r="J38" s="3" t="str">
        <f t="shared" si="1"/>
        <v>apt-cache.moyer.wtf</v>
      </c>
      <c r="K38" s="3">
        <v>3142.0</v>
      </c>
      <c r="L38" s="3" t="b">
        <v>0</v>
      </c>
      <c r="M38" s="19"/>
      <c r="N38" s="3" t="b">
        <v>1</v>
      </c>
      <c r="O38" s="3" t="b">
        <v>0</v>
      </c>
      <c r="P38" s="3"/>
    </row>
  </sheetData>
  <conditionalFormatting sqref="A2:P38">
    <cfRule type="expression" dxfId="5" priority="1">
      <formula>#REF!&lt;&gt;""</formula>
    </cfRule>
  </conditionalFormatting>
  <dataValidations>
    <dataValidation type="custom" allowBlank="1" showDropDown="1" sqref="F2:F9 F11:F38">
      <formula1>COUNTIF($F$2:$F$837, F2)=1</formula1>
    </dataValidation>
    <dataValidation type="list" allowBlank="1" showErrorMessage="1" sqref="E2:E38">
      <formula1>"TCP,UDP"</formula1>
    </dataValidation>
    <dataValidation type="list" allowBlank="1" showErrorMessage="1" sqref="G2:G38">
      <formula1>"caddy,dstnat,direct"</formula1>
    </dataValidation>
    <dataValidation type="list" allowBlank="1" sqref="H2:H38">
      <formula1>"public,private,local"</formula1>
    </dataValidation>
    <dataValidation type="list" allowBlank="1" sqref="A2:A38">
      <formula1>NodeHostnames</formula1>
    </dataValidation>
    <dataValidation type="custom" allowBlank="1" showDropDown="1" sqref="F10">
      <formula1>COUNTIF($F$2:$F$836, F10)=1</formula1>
    </dataValidation>
    <dataValidation type="list" allowBlank="1" sqref="I2:I38">
      <formula1>#REF!</formula1>
    </dataValidation>
  </dataValidations>
  <hyperlinks>
    <hyperlink r:id="rId1" ref="I34"/>
    <hyperlink r:id="rId2" ref="M34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38" t="s">
        <v>370</v>
      </c>
      <c r="B1" s="38" t="s">
        <v>371</v>
      </c>
    </row>
    <row r="2">
      <c r="A2" s="39" t="s">
        <v>372</v>
      </c>
      <c r="B2" s="40" t="s">
        <v>100</v>
      </c>
    </row>
    <row r="3">
      <c r="A3" s="39" t="s">
        <v>373</v>
      </c>
      <c r="B3" s="39" t="s">
        <v>106</v>
      </c>
    </row>
    <row r="4">
      <c r="A4" s="39" t="s">
        <v>374</v>
      </c>
      <c r="B4" s="39" t="s">
        <v>108</v>
      </c>
    </row>
    <row r="5">
      <c r="A5" s="39" t="s">
        <v>375</v>
      </c>
      <c r="B5" s="39" t="s">
        <v>110</v>
      </c>
    </row>
    <row r="6">
      <c r="B6" s="39" t="s">
        <v>112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</cols>
  <sheetData>
    <row r="1" ht="22.5" customHeight="1">
      <c r="A1" s="41" t="s">
        <v>376</v>
      </c>
      <c r="B1" s="41" t="s">
        <v>377</v>
      </c>
    </row>
    <row r="2" ht="22.5" customHeight="1">
      <c r="A2" s="3" t="s">
        <v>378</v>
      </c>
      <c r="B2" s="3" t="s">
        <v>152</v>
      </c>
    </row>
    <row r="3" ht="22.5" customHeight="1">
      <c r="A3" s="3" t="s">
        <v>378</v>
      </c>
      <c r="B3" s="3" t="s">
        <v>156</v>
      </c>
    </row>
    <row r="4" ht="22.5" customHeight="1">
      <c r="A4" s="3" t="s">
        <v>378</v>
      </c>
      <c r="B4" s="3" t="s">
        <v>160</v>
      </c>
    </row>
    <row r="5" ht="22.5" customHeight="1">
      <c r="A5" s="3" t="s">
        <v>378</v>
      </c>
      <c r="B5" s="3" t="s">
        <v>163</v>
      </c>
    </row>
    <row r="6" ht="22.5" customHeight="1">
      <c r="A6" s="3" t="s">
        <v>379</v>
      </c>
      <c r="B6" s="11" t="s">
        <v>136</v>
      </c>
    </row>
    <row r="7" ht="22.5" customHeight="1">
      <c r="A7" s="3" t="s">
        <v>380</v>
      </c>
      <c r="B7" s="11" t="s">
        <v>140</v>
      </c>
    </row>
    <row r="8" ht="22.5" customHeight="1">
      <c r="B8" s="3"/>
    </row>
    <row r="9" ht="22.5" customHeight="1">
      <c r="B9" s="3"/>
    </row>
    <row r="10" ht="22.5" customHeight="1">
      <c r="A10" s="14"/>
      <c r="B10" s="14"/>
    </row>
    <row r="11" ht="22.5" customHeight="1">
      <c r="A11" s="14"/>
      <c r="B11" s="14"/>
    </row>
    <row r="12" ht="22.5" customHeight="1">
      <c r="A12" s="14"/>
      <c r="B12" s="14"/>
    </row>
    <row r="13" ht="22.5" customHeight="1">
      <c r="A13" s="14"/>
      <c r="B13" s="14"/>
    </row>
    <row r="14" ht="22.5" customHeight="1">
      <c r="A14" s="14"/>
      <c r="B14" s="14"/>
    </row>
    <row r="15" ht="22.5" customHeight="1">
      <c r="A15" s="14"/>
      <c r="B15" s="14"/>
    </row>
  </sheetData>
  <conditionalFormatting sqref="B6:B7">
    <cfRule type="expression" dxfId="5" priority="1">
      <formula>#REF!&lt;&gt;""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4" max="4" width="21.25"/>
    <col customWidth="1" min="5" max="5" width="20.38"/>
    <col customWidth="1" min="6" max="6" width="18.25"/>
    <col customWidth="1" min="7" max="8" width="17.5"/>
    <col customWidth="1" min="11" max="11" width="18.25"/>
    <col customWidth="1" min="12" max="12" width="21.38"/>
    <col customWidth="1" min="14" max="14" width="23.88"/>
    <col customWidth="1" min="15" max="15" width="28.63"/>
    <col customWidth="1" min="16" max="16" width="15.88"/>
  </cols>
  <sheetData>
    <row r="1" ht="22.5" customHeight="1">
      <c r="A1" s="11" t="s">
        <v>381</v>
      </c>
      <c r="B1" s="11" t="s">
        <v>382</v>
      </c>
      <c r="C1" s="11" t="s">
        <v>383</v>
      </c>
      <c r="D1" s="11" t="s">
        <v>384</v>
      </c>
      <c r="E1" s="11" t="s">
        <v>385</v>
      </c>
      <c r="F1" s="11" t="s">
        <v>386</v>
      </c>
      <c r="G1" s="11" t="s">
        <v>387</v>
      </c>
      <c r="H1" s="11" t="s">
        <v>388</v>
      </c>
      <c r="I1" s="11" t="s">
        <v>272</v>
      </c>
      <c r="J1" s="11" t="s">
        <v>389</v>
      </c>
      <c r="K1" s="11" t="s">
        <v>390</v>
      </c>
      <c r="L1" s="11" t="s">
        <v>391</v>
      </c>
      <c r="M1" s="11" t="s">
        <v>392</v>
      </c>
      <c r="N1" s="11" t="s">
        <v>393</v>
      </c>
      <c r="O1" s="11" t="s">
        <v>394</v>
      </c>
      <c r="P1" s="42" t="s">
        <v>395</v>
      </c>
    </row>
    <row r="2" ht="22.5" customHeight="1">
      <c r="A2" s="6" t="s">
        <v>396</v>
      </c>
      <c r="B2" s="43">
        <v>10.0</v>
      </c>
      <c r="C2" s="6" t="s">
        <v>397</v>
      </c>
      <c r="D2" s="6" t="s">
        <v>398</v>
      </c>
      <c r="E2" s="6" t="s">
        <v>399</v>
      </c>
      <c r="I2" s="3" t="s">
        <v>400</v>
      </c>
      <c r="K2" s="3" t="s">
        <v>401</v>
      </c>
      <c r="L2" s="3" t="s">
        <v>402</v>
      </c>
      <c r="M2" s="3" t="b">
        <v>1</v>
      </c>
      <c r="N2" s="3" t="s">
        <v>403</v>
      </c>
      <c r="P2" s="6" t="s">
        <v>404</v>
      </c>
    </row>
    <row r="3" ht="22.5" customHeight="1">
      <c r="A3" s="6" t="s">
        <v>396</v>
      </c>
      <c r="B3" s="43">
        <v>20.0</v>
      </c>
      <c r="C3" s="6" t="s">
        <v>397</v>
      </c>
      <c r="D3" s="6" t="s">
        <v>405</v>
      </c>
      <c r="E3" s="17"/>
      <c r="L3" s="3" t="s">
        <v>406</v>
      </c>
      <c r="M3" s="3" t="b">
        <v>1</v>
      </c>
      <c r="N3" s="3" t="s">
        <v>407</v>
      </c>
      <c r="P3" s="6" t="s">
        <v>404</v>
      </c>
    </row>
    <row r="4" ht="22.5" customHeight="1">
      <c r="A4" s="6" t="s">
        <v>396</v>
      </c>
      <c r="B4" s="43">
        <v>30.0</v>
      </c>
      <c r="C4" s="6" t="s">
        <v>397</v>
      </c>
      <c r="D4" s="6" t="s">
        <v>405</v>
      </c>
      <c r="E4" s="6" t="s">
        <v>408</v>
      </c>
      <c r="M4" s="3" t="b">
        <v>1</v>
      </c>
      <c r="N4" s="3" t="s">
        <v>409</v>
      </c>
      <c r="P4" s="6" t="s">
        <v>404</v>
      </c>
    </row>
    <row r="5" ht="22.5" customHeight="1">
      <c r="A5" s="6" t="s">
        <v>396</v>
      </c>
      <c r="B5" s="43">
        <v>40.0</v>
      </c>
      <c r="C5" s="6" t="s">
        <v>397</v>
      </c>
      <c r="D5" s="6" t="s">
        <v>398</v>
      </c>
      <c r="E5" s="6" t="s">
        <v>399</v>
      </c>
      <c r="I5" s="3" t="s">
        <v>400</v>
      </c>
      <c r="M5" s="3" t="b">
        <v>1</v>
      </c>
      <c r="N5" s="3" t="s">
        <v>410</v>
      </c>
      <c r="P5" s="6" t="s">
        <v>404</v>
      </c>
    </row>
    <row r="6" ht="22.5" customHeight="1">
      <c r="A6" s="6" t="s">
        <v>396</v>
      </c>
      <c r="B6" s="43">
        <v>50.0</v>
      </c>
      <c r="C6" s="6" t="s">
        <v>397</v>
      </c>
      <c r="D6" s="6" t="s">
        <v>398</v>
      </c>
      <c r="E6" s="6" t="s">
        <v>399</v>
      </c>
      <c r="I6" s="3" t="s">
        <v>373</v>
      </c>
      <c r="J6" s="3" t="s">
        <v>411</v>
      </c>
      <c r="M6" s="3" t="b">
        <v>1</v>
      </c>
      <c r="N6" s="3" t="s">
        <v>412</v>
      </c>
      <c r="P6" s="6" t="s">
        <v>404</v>
      </c>
    </row>
    <row r="7" ht="22.5" customHeight="1">
      <c r="A7" s="6" t="s">
        <v>396</v>
      </c>
      <c r="B7" s="43">
        <v>60.0</v>
      </c>
      <c r="C7" s="6" t="s">
        <v>397</v>
      </c>
      <c r="D7" s="6" t="s">
        <v>398</v>
      </c>
      <c r="E7" s="6" t="s">
        <v>399</v>
      </c>
      <c r="I7" s="3" t="s">
        <v>373</v>
      </c>
      <c r="J7" s="3">
        <v>53.0</v>
      </c>
      <c r="M7" s="3" t="b">
        <v>0</v>
      </c>
      <c r="N7" s="3" t="s">
        <v>413</v>
      </c>
      <c r="P7" s="6" t="s">
        <v>404</v>
      </c>
    </row>
    <row r="8" ht="22.5" customHeight="1">
      <c r="A8" s="6" t="s">
        <v>396</v>
      </c>
      <c r="B8" s="43">
        <v>70.0</v>
      </c>
      <c r="C8" s="6" t="s">
        <v>397</v>
      </c>
      <c r="D8" s="6" t="s">
        <v>398</v>
      </c>
      <c r="E8" s="6" t="s">
        <v>399</v>
      </c>
      <c r="I8" s="3" t="s">
        <v>372</v>
      </c>
      <c r="J8" s="3">
        <v>53.0</v>
      </c>
      <c r="M8" s="3" t="b">
        <v>0</v>
      </c>
      <c r="N8" s="3" t="s">
        <v>414</v>
      </c>
      <c r="P8" s="6" t="s">
        <v>404</v>
      </c>
    </row>
    <row r="9" ht="22.5" customHeight="1">
      <c r="A9" s="6" t="s">
        <v>396</v>
      </c>
      <c r="B9" s="43">
        <v>80.0</v>
      </c>
      <c r="C9" s="6" t="s">
        <v>397</v>
      </c>
      <c r="D9" s="6" t="s">
        <v>398</v>
      </c>
      <c r="E9" s="17"/>
      <c r="G9" s="3" t="s">
        <v>378</v>
      </c>
      <c r="M9" s="3" t="b">
        <v>1</v>
      </c>
      <c r="N9" s="3" t="s">
        <v>415</v>
      </c>
      <c r="P9" s="6" t="s">
        <v>404</v>
      </c>
    </row>
    <row r="10" ht="22.5" customHeight="1">
      <c r="A10" s="6" t="s">
        <v>396</v>
      </c>
      <c r="B10" s="43">
        <v>90.0</v>
      </c>
      <c r="C10" s="6" t="s">
        <v>416</v>
      </c>
      <c r="D10" s="17"/>
      <c r="E10" s="17"/>
      <c r="M10" s="3" t="b">
        <v>1</v>
      </c>
      <c r="N10" s="3" t="s">
        <v>417</v>
      </c>
      <c r="P10" s="6" t="s">
        <v>418</v>
      </c>
    </row>
    <row r="11" ht="22.5" customHeight="1">
      <c r="A11" s="6" t="s">
        <v>396</v>
      </c>
      <c r="B11" s="43">
        <v>100.0</v>
      </c>
      <c r="C11" s="6" t="s">
        <v>397</v>
      </c>
      <c r="D11" s="6" t="s">
        <v>405</v>
      </c>
      <c r="E11" s="17"/>
      <c r="M11" s="3" t="b">
        <v>1</v>
      </c>
      <c r="N11" s="3" t="s">
        <v>419</v>
      </c>
      <c r="P11" s="6" t="s">
        <v>404</v>
      </c>
    </row>
    <row r="12" ht="22.5" customHeight="1">
      <c r="A12" s="6" t="s">
        <v>420</v>
      </c>
      <c r="B12" s="43">
        <v>10.0</v>
      </c>
      <c r="C12" s="6" t="s">
        <v>397</v>
      </c>
      <c r="D12" s="6" t="s">
        <v>421</v>
      </c>
      <c r="E12" s="17"/>
      <c r="K12" s="3" t="s">
        <v>401</v>
      </c>
      <c r="L12" s="3" t="s">
        <v>402</v>
      </c>
      <c r="M12" s="3" t="b">
        <v>1</v>
      </c>
      <c r="N12" s="3" t="s">
        <v>422</v>
      </c>
      <c r="P12" s="6" t="s">
        <v>404</v>
      </c>
    </row>
    <row r="13" ht="22.5" customHeight="1">
      <c r="A13" s="6" t="s">
        <v>420</v>
      </c>
      <c r="B13" s="43">
        <v>20.0</v>
      </c>
      <c r="C13" s="6" t="s">
        <v>397</v>
      </c>
      <c r="D13" s="6" t="s">
        <v>398</v>
      </c>
      <c r="E13" s="17"/>
      <c r="K13" s="3" t="s">
        <v>401</v>
      </c>
      <c r="L13" s="3" t="s">
        <v>402</v>
      </c>
      <c r="M13" s="3" t="b">
        <v>1</v>
      </c>
      <c r="N13" s="3" t="s">
        <v>423</v>
      </c>
      <c r="P13" s="6" t="s">
        <v>404</v>
      </c>
    </row>
    <row r="14" ht="22.5" customHeight="1">
      <c r="A14" s="6" t="s">
        <v>420</v>
      </c>
      <c r="B14" s="43">
        <v>30.0</v>
      </c>
      <c r="C14" s="6" t="s">
        <v>397</v>
      </c>
      <c r="D14" s="6" t="s">
        <v>405</v>
      </c>
      <c r="E14" s="17"/>
      <c r="K14" s="3" t="s">
        <v>406</v>
      </c>
      <c r="M14" s="3" t="b">
        <v>1</v>
      </c>
      <c r="N14" s="3" t="s">
        <v>424</v>
      </c>
      <c r="P14" s="6" t="s">
        <v>404</v>
      </c>
    </row>
    <row r="15" ht="22.5" customHeight="1">
      <c r="A15" s="6" t="s">
        <v>420</v>
      </c>
      <c r="B15" s="43">
        <v>40.0</v>
      </c>
      <c r="C15" s="6" t="s">
        <v>397</v>
      </c>
      <c r="D15" s="6" t="s">
        <v>398</v>
      </c>
      <c r="E15" s="17"/>
      <c r="G15" s="3" t="s">
        <v>378</v>
      </c>
      <c r="H15" s="3" t="s">
        <v>425</v>
      </c>
      <c r="M15" s="3" t="b">
        <v>1</v>
      </c>
      <c r="N15" s="3" t="s">
        <v>426</v>
      </c>
      <c r="P15" s="6" t="s">
        <v>404</v>
      </c>
    </row>
    <row r="16" ht="22.5" customHeight="1">
      <c r="A16" s="6" t="s">
        <v>420</v>
      </c>
      <c r="B16" s="43">
        <v>50.0</v>
      </c>
      <c r="C16" s="6" t="s">
        <v>397</v>
      </c>
      <c r="D16" s="6" t="s">
        <v>398</v>
      </c>
      <c r="E16" s="6" t="s">
        <v>399</v>
      </c>
      <c r="F16" s="3" t="s">
        <v>408</v>
      </c>
      <c r="M16" s="3" t="b">
        <v>1</v>
      </c>
      <c r="N16" s="3" t="s">
        <v>427</v>
      </c>
      <c r="P16" s="6" t="s">
        <v>404</v>
      </c>
    </row>
    <row r="17" ht="22.5" customHeight="1">
      <c r="A17" s="6" t="s">
        <v>420</v>
      </c>
      <c r="B17" s="43">
        <v>60.0</v>
      </c>
      <c r="C17" s="6" t="s">
        <v>397</v>
      </c>
      <c r="D17" s="6" t="s">
        <v>398</v>
      </c>
      <c r="E17" s="6" t="s">
        <v>399</v>
      </c>
      <c r="H17" s="3" t="s">
        <v>428</v>
      </c>
      <c r="I17" s="3" t="s">
        <v>372</v>
      </c>
      <c r="J17" s="44">
        <v>80443.0</v>
      </c>
      <c r="M17" s="3" t="b">
        <v>1</v>
      </c>
      <c r="N17" s="3" t="s">
        <v>429</v>
      </c>
      <c r="P17" s="6" t="s">
        <v>404</v>
      </c>
    </row>
    <row r="18" ht="22.5" customHeight="1">
      <c r="A18" s="6" t="s">
        <v>420</v>
      </c>
      <c r="B18" s="43">
        <v>61.0</v>
      </c>
      <c r="C18" s="6" t="s">
        <v>397</v>
      </c>
      <c r="D18" s="6" t="s">
        <v>398</v>
      </c>
      <c r="E18" s="12"/>
      <c r="G18" s="3" t="s">
        <v>379</v>
      </c>
      <c r="H18" s="3"/>
      <c r="I18" s="3"/>
      <c r="J18" s="44"/>
      <c r="M18" s="3" t="b">
        <v>1</v>
      </c>
      <c r="N18" s="3" t="s">
        <v>430</v>
      </c>
      <c r="P18" s="6" t="s">
        <v>404</v>
      </c>
    </row>
    <row r="19" ht="22.5" customHeight="1">
      <c r="A19" s="6" t="s">
        <v>420</v>
      </c>
      <c r="B19" s="43">
        <v>62.0</v>
      </c>
      <c r="C19" s="6" t="s">
        <v>397</v>
      </c>
      <c r="D19" s="6" t="s">
        <v>398</v>
      </c>
      <c r="E19" s="12"/>
      <c r="G19" s="3" t="s">
        <v>380</v>
      </c>
      <c r="H19" s="3"/>
      <c r="I19" s="3"/>
      <c r="J19" s="44"/>
      <c r="M19" s="3" t="b">
        <v>1</v>
      </c>
      <c r="N19" s="3" t="s">
        <v>431</v>
      </c>
      <c r="P19" s="6" t="s">
        <v>404</v>
      </c>
    </row>
    <row r="20" ht="22.5" customHeight="1">
      <c r="A20" s="6" t="s">
        <v>420</v>
      </c>
      <c r="B20" s="43">
        <v>63.0</v>
      </c>
      <c r="C20" s="6" t="s">
        <v>397</v>
      </c>
      <c r="D20" s="6" t="s">
        <v>398</v>
      </c>
      <c r="E20" s="6" t="s">
        <v>399</v>
      </c>
      <c r="H20" s="3" t="s">
        <v>432</v>
      </c>
      <c r="I20" s="3" t="s">
        <v>372</v>
      </c>
      <c r="J20" s="44">
        <v>3142.0</v>
      </c>
      <c r="M20" s="3" t="b">
        <v>1</v>
      </c>
      <c r="N20" s="3" t="s">
        <v>433</v>
      </c>
      <c r="P20" s="6" t="s">
        <v>404</v>
      </c>
    </row>
    <row r="21" ht="22.5" customHeight="1">
      <c r="A21" s="6" t="s">
        <v>420</v>
      </c>
      <c r="B21" s="43">
        <v>70.0</v>
      </c>
      <c r="C21" s="6" t="s">
        <v>416</v>
      </c>
      <c r="D21" s="17"/>
      <c r="E21" s="17"/>
      <c r="M21" s="3" t="b">
        <v>1</v>
      </c>
      <c r="N21" s="3" t="s">
        <v>434</v>
      </c>
      <c r="P21" s="6" t="s">
        <v>418</v>
      </c>
    </row>
    <row r="22" ht="22.5" customHeight="1">
      <c r="A22" s="6" t="s">
        <v>420</v>
      </c>
      <c r="B22" s="43">
        <v>900.0</v>
      </c>
      <c r="C22" s="6" t="s">
        <v>397</v>
      </c>
      <c r="D22" s="6" t="s">
        <v>405</v>
      </c>
      <c r="E22" s="6" t="s">
        <v>399</v>
      </c>
      <c r="F22" s="3" t="s">
        <v>399</v>
      </c>
      <c r="M22" s="3" t="b">
        <v>1</v>
      </c>
      <c r="N22" s="3" t="s">
        <v>435</v>
      </c>
      <c r="P22" s="6" t="s">
        <v>404</v>
      </c>
    </row>
    <row r="23" ht="22.5" customHeight="1">
      <c r="A23" s="6" t="s">
        <v>420</v>
      </c>
      <c r="B23" s="43">
        <v>1000.0</v>
      </c>
      <c r="C23" s="6" t="s">
        <v>397</v>
      </c>
      <c r="D23" s="6" t="s">
        <v>405</v>
      </c>
      <c r="E23" s="17"/>
      <c r="M23" s="3" t="b">
        <v>1</v>
      </c>
      <c r="N23" s="3" t="s">
        <v>436</v>
      </c>
      <c r="P23" s="6" t="s">
        <v>404</v>
      </c>
    </row>
  </sheetData>
  <dataValidations>
    <dataValidation type="list" allowBlank="1" showDropDown="1" showErrorMessage="1" sqref="P2:P23">
      <formula1>"manual,generator"</formula1>
    </dataValidation>
    <dataValidation type="list" allowBlank="1" showDropDown="1" showErrorMessage="1" sqref="C2:C23">
      <formula1>"rule,anchor"</formula1>
    </dataValidation>
    <dataValidation type="list" allowBlank="1" showDropDown="1" showErrorMessage="1" sqref="A2:A23">
      <formula1>"input,forward"</formula1>
    </dataValidation>
    <dataValidation type="custom" allowBlank="1" showDropDown="1" sqref="B2:B23">
      <formula1>AND(ISNUMBER(B2),(NOT(OR(NOT(ISERROR(DATEVALUE(B2))), AND(ISNUMBER(B2), LEFT(CELL("format", B2))="D")))))</formula1>
    </dataValidation>
    <dataValidation type="list" allowBlank="1" showDropDown="1" showErrorMessage="1" sqref="E2:E23">
      <formula1>"LAN,WAN"</formula1>
    </dataValidation>
    <dataValidation type="list" allowBlank="1" showDropDown="1" showErrorMessage="1" sqref="D2:D23">
      <formula1>"accept,drop,fasttrack-connection"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4" max="4" width="21.25"/>
    <col customWidth="1" min="5" max="5" width="20.38"/>
    <col customWidth="1" min="6" max="6" width="18.25"/>
    <col customWidth="1" min="7" max="7" width="17.5"/>
    <col customWidth="1" min="11" max="11" width="36.38"/>
    <col customWidth="1" min="12" max="12" width="21.25"/>
  </cols>
  <sheetData>
    <row r="1" ht="22.5" customHeight="1">
      <c r="A1" s="11" t="s">
        <v>381</v>
      </c>
      <c r="B1" s="11" t="s">
        <v>382</v>
      </c>
      <c r="C1" s="11" t="s">
        <v>383</v>
      </c>
      <c r="D1" s="11" t="s">
        <v>384</v>
      </c>
      <c r="E1" s="11" t="s">
        <v>385</v>
      </c>
      <c r="F1" s="11" t="s">
        <v>386</v>
      </c>
      <c r="G1" s="11" t="s">
        <v>387</v>
      </c>
      <c r="H1" s="11" t="s">
        <v>272</v>
      </c>
      <c r="I1" s="11" t="s">
        <v>389</v>
      </c>
      <c r="J1" s="11" t="s">
        <v>392</v>
      </c>
      <c r="K1" s="11" t="s">
        <v>393</v>
      </c>
      <c r="L1" s="42" t="s">
        <v>395</v>
      </c>
    </row>
    <row r="2" ht="22.5" customHeight="1">
      <c r="A2" s="6" t="s">
        <v>437</v>
      </c>
      <c r="B2" s="43">
        <v>10.0</v>
      </c>
      <c r="C2" s="6" t="s">
        <v>397</v>
      </c>
      <c r="D2" s="6" t="s">
        <v>438</v>
      </c>
      <c r="E2" s="45"/>
      <c r="F2" s="3" t="s">
        <v>408</v>
      </c>
      <c r="J2" s="3" t="b">
        <v>1</v>
      </c>
      <c r="L2" s="6" t="s">
        <v>404</v>
      </c>
    </row>
    <row r="3" ht="22.5" customHeight="1">
      <c r="A3" s="6" t="s">
        <v>439</v>
      </c>
      <c r="B3" s="43">
        <v>20.0</v>
      </c>
      <c r="C3" s="6" t="s">
        <v>416</v>
      </c>
      <c r="D3" s="6"/>
      <c r="E3" s="45"/>
      <c r="F3" s="3"/>
      <c r="J3" s="3" t="b">
        <v>1</v>
      </c>
      <c r="K3" s="3" t="s">
        <v>440</v>
      </c>
      <c r="L3" s="6" t="s">
        <v>418</v>
      </c>
    </row>
  </sheetData>
  <dataValidations>
    <dataValidation type="list" allowBlank="1" showDropDown="1" showErrorMessage="1" sqref="L2:L3">
      <formula1>"manual,generator"</formula1>
    </dataValidation>
    <dataValidation type="list" allowBlank="1" showDropDown="1" showErrorMessage="1" sqref="C2:C3">
      <formula1>"rule,anchor"</formula1>
    </dataValidation>
    <dataValidation type="list" allowBlank="1" sqref="A2:A3">
      <formula1>"srcnat,dstnat"</formula1>
    </dataValidation>
    <dataValidation type="custom" allowBlank="1" showDropDown="1" sqref="B2:B3">
      <formula1>AND(ISNUMBER(B2),(NOT(OR(NOT(ISERROR(DATEVALUE(B2))), AND(ISNUMBER(B2), LEFT(CELL("format", B2))="D")))))</formula1>
    </dataValidation>
    <dataValidation type="list" allowBlank="1" sqref="D2:D3">
      <formula1>"masquerade,src-nat,dst-nat"</formula1>
    </dataValidation>
    <dataValidation allowBlank="1" showDropDown="1" sqref="E2:E3"/>
  </dataValidations>
  <drawing r:id="rId1"/>
  <tableParts count="1">
    <tablePart r:id="rId3"/>
  </tableParts>
</worksheet>
</file>